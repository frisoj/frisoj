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Instellingen" sheetId="2" state="visible" r:id="rId2"/>
    <sheet name="Jaaroverzicht" sheetId="3" state="visible" r:id="rId3"/>
    <sheet name="Januari" sheetId="4" state="visible" r:id="rId4"/>
    <sheet name="Februari" sheetId="5" state="visible" r:id="rId5"/>
    <sheet name="Maart" sheetId="6" state="visible" r:id="rId6"/>
    <sheet name="April" sheetId="7" state="visible" r:id="rId7"/>
    <sheet name="Mei" sheetId="8" state="visible" r:id="rId8"/>
    <sheet name="Juni" sheetId="9" state="visible" r:id="rId9"/>
    <sheet name="Juli" sheetId="10" state="visible" r:id="rId10"/>
    <sheet name="Augustus" sheetId="11" state="visible" r:id="rId11"/>
    <sheet name="September" sheetId="12" state="visible" r:id="rId12"/>
    <sheet name="Oktober" sheetId="13" state="visible" r:id="rId13"/>
    <sheet name="November" sheetId="14" state="visible" r:id="rId14"/>
    <sheet name="December" sheetId="15" state="visible" r:id="rId15"/>
    <sheet name="Spaardoelen" sheetId="16" state="visible" r:id="rId16"/>
    <sheet name="Schulden" sheetId="17" state="visible" r:id="rId17"/>
    <sheet name="Abonnementen" sheetId="18" state="visible" r:id="rId18"/>
    <sheet name="Spaarpotjes 52 weke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mm yyyy"/>
    <numFmt numFmtId="165" formatCode="&quot;€ &quot;#,##0.00"/>
    <numFmt numFmtId="166" formatCode="dd-mm-yyyy"/>
    <numFmt numFmtId="167" formatCode="0.0%"/>
    <numFmt numFmtId="168" formatCode="mmm yyyy"/>
  </numFmts>
  <fonts count="10">
    <font>
      <name val="Calibri"/>
      <family val="2"/>
      <color theme="1"/>
      <sz val="11"/>
      <scheme val="minor"/>
    </font>
    <font>
      <name val="Calibri"/>
      <b val="1"/>
      <color rgb="005F7A61"/>
      <sz val="14"/>
    </font>
    <font>
      <name val="Calibri"/>
      <b val="1"/>
      <color rgb="005F7A61"/>
      <sz val="20"/>
    </font>
    <font>
      <name val="Calibri"/>
      <i val="1"/>
      <color rgb="006B7570"/>
      <sz val="11"/>
    </font>
    <font>
      <name val="Calibri"/>
      <b val="1"/>
      <color rgb="001F2A24"/>
      <sz val="11"/>
    </font>
    <font>
      <name val="Calibri"/>
      <b val="1"/>
      <color rgb="005F7A61"/>
      <sz val="13"/>
    </font>
    <font>
      <name val="Calibri"/>
      <color rgb="001F2A24"/>
      <sz val="11"/>
    </font>
    <font>
      <name val="Calibri"/>
      <color rgb="006B7570"/>
      <sz val="10"/>
    </font>
    <font>
      <name val="Calibri"/>
      <b val="1"/>
      <color rgb="00FFFFFF"/>
      <sz val="11"/>
    </font>
    <font>
      <name val="Calibri"/>
      <b val="1"/>
      <color rgb="005F7A61"/>
      <sz val="16"/>
    </font>
  </fonts>
  <fills count="6">
    <fill>
      <patternFill/>
    </fill>
    <fill>
      <patternFill patternType="gray125"/>
    </fill>
    <fill>
      <patternFill patternType="solid">
        <fgColor rgb="00E8EFE6"/>
      </patternFill>
    </fill>
    <fill>
      <patternFill patternType="solid">
        <fgColor rgb="00FFFFFF"/>
      </patternFill>
    </fill>
    <fill>
      <patternFill patternType="solid">
        <fgColor rgb="00F4EFE6"/>
      </patternFill>
    </fill>
    <fill>
      <patternFill patternType="solid">
        <fgColor rgb="005F7A61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horizontal="left" vertical="top" wrapText="1"/>
    </xf>
    <xf numFmtId="0" fontId="6" fillId="2" borderId="1" pivotButton="0" quotePrefix="0" xfId="0"/>
    <xf numFmtId="0" fontId="6" fillId="0" borderId="0" applyAlignment="1" pivotButton="0" quotePrefix="0" xfId="0">
      <alignment horizontal="left" vertical="center"/>
    </xf>
    <xf numFmtId="0" fontId="6" fillId="3" borderId="1" pivotButton="0" quotePrefix="0" xfId="0"/>
    <xf numFmtId="0" fontId="6" fillId="4" borderId="1" pivotButton="0" quotePrefix="0" xfId="0"/>
    <xf numFmtId="0" fontId="4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164" fontId="6" fillId="2" borderId="1" applyAlignment="1" pivotButton="0" quotePrefix="0" xfId="0">
      <alignment horizontal="left" vertical="center"/>
    </xf>
    <xf numFmtId="1" fontId="6" fillId="3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/>
    </xf>
    <xf numFmtId="0" fontId="0" fillId="0" borderId="4" pivotButton="0" quotePrefix="0" xfId="0"/>
    <xf numFmtId="165" fontId="9" fillId="4" borderId="1" applyAlignment="1" pivotButton="0" quotePrefix="0" xfId="0">
      <alignment horizontal="center" vertical="center"/>
    </xf>
    <xf numFmtId="9" fontId="9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9" fontId="6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right" vertical="center"/>
    </xf>
    <xf numFmtId="9" fontId="4" fillId="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165" fontId="6" fillId="2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right" vertical="center"/>
    </xf>
    <xf numFmtId="166" fontId="6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8" fillId="5" borderId="1" applyAlignment="1" pivotButton="0" quotePrefix="0" xfId="0">
      <alignment horizontal="center" vertical="center" wrapText="1"/>
    </xf>
    <xf numFmtId="167" fontId="6" fillId="2" borderId="1" applyAlignment="1" pivotButton="0" quotePrefix="0" xfId="0">
      <alignment horizontal="right" vertical="center"/>
    </xf>
    <xf numFmtId="1" fontId="4" fillId="3" borderId="1" applyAlignment="1" pivotButton="0" quotePrefix="0" xfId="0">
      <alignment horizontal="right" vertical="center"/>
    </xf>
    <xf numFmtId="168" fontId="4" fillId="3" borderId="1" applyAlignment="1" pivotButton="0" quotePrefix="0" xfId="0">
      <alignment horizontal="right" vertical="center"/>
    </xf>
    <xf numFmtId="1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B5482B"/>
        <sz val="11"/>
      </font>
    </dxf>
    <dxf>
      <font>
        <name val="Calibri"/>
        <b val="1"/>
        <color rgb="00FFFFFF"/>
        <sz val="11"/>
      </font>
      <fill>
        <patternFill patternType="solid">
          <fgColor rgb="005F7A6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Inkomen vs. uitgaven per maand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'Jaaroverzicht'!C8</f>
            </strRef>
          </tx>
          <spPr>
            <a:solidFill>
              <a:srgbClr val="5F7A61"/>
            </a:solidFill>
            <a:ln>
              <a:solidFill>
                <a:srgbClr val="5F7A61"/>
              </a:solidFill>
              <a:prstDash val="solid"/>
            </a:ln>
          </spPr>
          <cat>
            <numRef>
              <f>'Jaaroverzicht'!$B$9:$B$20</f>
            </numRef>
          </cat>
          <val>
            <numRef>
              <f>'Jaaroverzicht'!$C$9:$C$20</f>
            </numRef>
          </val>
        </ser>
        <ser>
          <idx val="1"/>
          <order val="1"/>
          <tx>
            <strRef>
              <f>'Jaaroverzicht'!G8</f>
            </strRef>
          </tx>
          <spPr>
            <a:solidFill>
              <a:srgbClr val="C9B79C"/>
            </a:solidFill>
            <a:ln>
              <a:solidFill>
                <a:srgbClr val="C9B79C"/>
              </a:solidFill>
              <a:prstDash val="solid"/>
            </a:ln>
          </spPr>
          <cat>
            <numRef>
              <f>'Jaaroverzicht'!$B$9:$B$20</f>
            </numRef>
          </cat>
          <val>
            <numRef>
              <f>'Jaaroverzicht'!$G$9:$G$20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24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2A24"/>
    <outlinePr summaryBelow="1" summaryRight="1"/>
    <pageSetUpPr/>
  </sheetPr>
  <dimension ref="B1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95" customWidth="1" min="3" max="3"/>
  </cols>
  <sheetData>
    <row r="1">
      <c r="B1" s="1" t="inlineStr">
        <is>
          <t>Plannerij</t>
        </is>
      </c>
    </row>
    <row r="2" ht="32" customHeight="1">
      <c r="B2" s="2" t="inlineStr">
        <is>
          <t>Budgetplanner</t>
        </is>
      </c>
    </row>
    <row r="3">
      <c r="B3" s="3" t="inlineStr">
        <is>
          <t>Grip op je geld – maand voor maand. Werkt in Excel, Google Sheets en Numbers.</t>
        </is>
      </c>
    </row>
    <row r="5">
      <c r="B5" s="4" t="inlineStr">
        <is>
          <t>Zo gebruik je dit bestand</t>
        </is>
      </c>
    </row>
    <row r="6" ht="34" customHeight="1">
      <c r="B6" s="5" t="inlineStr">
        <is>
          <t>1.</t>
        </is>
      </c>
      <c r="C6" s="6" t="inlineStr">
        <is>
          <t>Ga naar het tabblad Instellingen. Vul de naam van je huishouden en je startmaand in en pas de categorienamen aan naar jouw situatie. Alle maandtabbladen nemen die namen automatisch over.</t>
        </is>
      </c>
    </row>
    <row r="7" ht="34" customHeight="1">
      <c r="B7" s="5" t="inlineStr">
        <is>
          <t>2.</t>
        </is>
      </c>
      <c r="C7" s="6" t="inlineStr">
        <is>
          <t>Open het tabblad van de huidige maand (Januari t/m December) en vul in de kolom Begroot in wat je verwacht aan inkomen, vaste lasten, variabele uitgaven en sparen.</t>
        </is>
      </c>
    </row>
    <row r="8" ht="34" customHeight="1">
      <c r="B8" s="5" t="inlineStr">
        <is>
          <t>3.</t>
        </is>
      </c>
      <c r="C8" s="6" t="inlineStr">
        <is>
          <t>Vul in de loop van de maand je werkelijke inkomen en vaste lasten in (groene cellen in de kolom Werkelijk).</t>
        </is>
      </c>
    </row>
    <row r="9" ht="34" customHeight="1">
      <c r="B9" s="5" t="inlineStr">
        <is>
          <t>4.</t>
        </is>
      </c>
      <c r="C9" s="6" t="inlineStr">
        <is>
          <t>Noteer variabele uitgaven (boodschappen, uit eten, kleding, …) in het Uitgavenlogboek rechts op het maandblad: datum, omschrijving, categorie (keuzelijst) en bedrag. De kolom Werkelijk bij Variabele uitgaven telt dit automatisch op per categorie (SUMIF).</t>
        </is>
      </c>
    </row>
    <row r="10" ht="34" customHeight="1">
      <c r="B10" s="5" t="inlineStr">
        <is>
          <t>5.</t>
        </is>
      </c>
      <c r="C10" s="6" t="inlineStr">
        <is>
          <t>Vul onder Sparen in wat je werkelijk naar elk spaardoel hebt overgemaakt. Het tabblad Spaardoelen houdt de voortgang bij.</t>
        </is>
      </c>
    </row>
    <row r="11" ht="34" customHeight="1">
      <c r="B11" s="5" t="inlineStr">
        <is>
          <t>6.</t>
        </is>
      </c>
      <c r="C11" s="6" t="inlineStr">
        <is>
          <t>Bekijk het samenvattingskader rechtsboven op het maandblad: Totaal inkomen, Totaal uitgaven, Gespaard en Over/tekort. Rood betekent dat je meer hebt uitgegeven dan er binnenkwam.</t>
        </is>
      </c>
    </row>
    <row r="12" ht="34" customHeight="1">
      <c r="B12" s="5" t="inlineStr">
        <is>
          <t>7.</t>
        </is>
      </c>
      <c r="C12" s="6" t="inlineStr">
        <is>
          <t>Kijk regelmatig op het Jaaroverzicht voor het totaalbeeld: inkomen versus uitgaven per maand, je spaarquote en de grafiek.</t>
        </is>
      </c>
    </row>
    <row r="13" ht="34" customHeight="1">
      <c r="B13" s="5" t="inlineStr">
        <is>
          <t>8.</t>
        </is>
      </c>
      <c r="C13" s="6" t="inlineStr">
        <is>
          <t>Gebruik de extra tabbladen Schulden, Abonnementen en Spaarpotjes 52 weken om schulden af te bouwen, abonnementen op te ruimen en spelenderwijs te sparen.</t>
        </is>
      </c>
    </row>
    <row r="15">
      <c r="B15" s="4" t="inlineStr">
        <is>
          <t>Legenda</t>
        </is>
      </c>
    </row>
    <row r="16">
      <c r="B16" s="7" t="n"/>
      <c r="C16" s="8" t="inlineStr">
        <is>
          <t>Groene cel = invulcel. Hier vul je je eigen cijfers in.</t>
        </is>
      </c>
    </row>
    <row r="17">
      <c r="B17" s="9" t="n"/>
      <c r="C17" s="8" t="inlineStr">
        <is>
          <t>Witte cel = formule. Niet aanpassen; deze rekent automatisch.</t>
        </is>
      </c>
    </row>
    <row r="18">
      <c r="B18" s="10" t="n"/>
      <c r="C18" s="8" t="inlineStr">
        <is>
          <t>Zandkleurige cel = subtotaal of samenvatting.</t>
        </is>
      </c>
    </row>
    <row r="19" ht="30" customHeight="1">
      <c r="C19" s="11" t="inlineStr">
        <is>
          <t>Voorbeeld-bedragen? Vul je eigen cijfers in in de groene cellen. Het bestand is bewust leeg opgeleverd, zodat je met een schone lei begint.</t>
        </is>
      </c>
    </row>
    <row r="21">
      <c r="B21" s="4" t="inlineStr">
        <is>
          <t>Tips</t>
        </is>
      </c>
    </row>
    <row r="22" ht="32" customHeight="1">
      <c r="B22" s="5" t="inlineStr">
        <is>
          <t>•</t>
        </is>
      </c>
      <c r="C22" s="6" t="inlineStr">
        <is>
          <t>Verschil-kolom: bij Inkomen is dat Werkelijk – Begroot (positief = meer binnen dan verwacht). Bij uitgaven is het Begroot – Werkelijk (positief = binnen budget gebleven, rood = overschreden).</t>
        </is>
      </c>
    </row>
    <row r="23" ht="32" customHeight="1">
      <c r="B23" s="5" t="inlineStr">
        <is>
          <t>•</t>
        </is>
      </c>
      <c r="C23" s="6" t="inlineStr">
        <is>
          <t>Categorie hernoemen? Doe dat alléén op het tabblad Instellingen; alle maanden en keuzelijsten volgen automatisch.</t>
        </is>
      </c>
    </row>
    <row r="24" ht="32" customHeight="1">
      <c r="B24" s="5" t="inlineStr">
        <is>
          <t>•</t>
        </is>
      </c>
      <c r="C24" s="6" t="inlineStr">
        <is>
          <t>Spaarquote = Gespaard ÷ Inkomen. Een spaarquote van 10–20% is een mooi streven; alles boven 0% is winst.</t>
        </is>
      </c>
    </row>
    <row r="25" ht="32" customHeight="1">
      <c r="B25" s="5" t="inlineStr">
        <is>
          <t>•</t>
        </is>
      </c>
      <c r="C25" s="6" t="inlineStr">
        <is>
          <t>Bouw eerst een noodbuffer van 3 maanden vaste lasten op vóór je aan grotere spaardoelen begint.</t>
        </is>
      </c>
    </row>
    <row r="26" ht="32" customHeight="1">
      <c r="B26" s="5" t="inlineStr">
        <is>
          <t>•</t>
        </is>
      </c>
      <c r="C26" s="6" t="inlineStr">
        <is>
          <t>Vul het logboek wekelijks in (bijvoorbeeld op zondagavond) – dat kost 5 minuten en houdt je overzicht actueel.</t>
        </is>
      </c>
    </row>
    <row r="27" ht="32" customHeight="1">
      <c r="B27" s="5" t="inlineStr">
        <is>
          <t>•</t>
        </is>
      </c>
      <c r="C27" s="6" t="inlineStr">
        <is>
          <t>Wil je een tabblad beschermen tegen per ongeluk overschrijven? Gebruik 'Blad beveiligen' in Excel of Google Sheets; de groene cellen blijven dan invulbaar als je ze eerst ontgrendelt.</t>
        </is>
      </c>
    </row>
    <row r="28" ht="32" customHeight="1">
      <c r="B28" s="5" t="inlineStr">
        <is>
          <t>•</t>
        </is>
      </c>
      <c r="C28" s="6" t="inlineStr">
        <is>
          <t>Google Sheets: upload het bestand via Bestand &gt; Importeren. Numbers: openen werkt direct; formules blijven behouden.</t>
        </is>
      </c>
    </row>
    <row r="30">
      <c r="C30" s="12" t="inlineStr">
        <is>
          <t>Werkt in Excel, Google Sheets en Numbers.  ·  © Plannerij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F7A61"/>
    <outlinePr summaryBelow="1" summaryRight="1"/>
    <pageSetUpPr/>
  </sheetPr>
  <dimension ref="B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24" customWidth="1" min="3" max="3"/>
    <col width="30" customWidth="1" min="4" max="4"/>
    <col width="3" customWidth="1" min="5" max="5"/>
    <col width="30" customWidth="1" min="6" max="6"/>
    <col width="3" customWidth="1" min="7" max="7"/>
    <col width="30" customWidth="1" min="8" max="8"/>
    <col width="3" customWidth="1" min="9" max="9"/>
  </cols>
  <sheetData>
    <row r="1">
      <c r="B1" s="1" t="inlineStr">
        <is>
          <t>Plannerij</t>
        </is>
      </c>
    </row>
    <row r="2" ht="30" customHeight="1">
      <c r="B2" s="2" t="inlineStr">
        <is>
          <t>Instellingen</t>
        </is>
      </c>
    </row>
    <row r="3">
      <c r="B3" s="3" t="inlineStr">
        <is>
          <t>Vul de groene cellen in. Categorienamen die je hier wijzigt, worden overal overgenomen.</t>
        </is>
      </c>
    </row>
    <row r="5">
      <c r="B5" s="13" t="inlineStr">
        <is>
          <t>Naam huishouden</t>
        </is>
      </c>
      <c r="C5" s="14" t="n"/>
    </row>
    <row r="6">
      <c r="B6" s="13" t="inlineStr">
        <is>
          <t>Startmaand (datum, bv. 01-01-2027)</t>
        </is>
      </c>
      <c r="C6" s="15" t="n"/>
    </row>
    <row r="7">
      <c r="B7" s="13" t="inlineStr">
        <is>
          <t>Jaar</t>
        </is>
      </c>
      <c r="C7" s="16">
        <f>IF(C6="","",YEAR(C6))</f>
        <v/>
      </c>
    </row>
    <row r="8">
      <c r="B8" s="17" t="inlineStr">
        <is>
          <t>Inkomen</t>
        </is>
      </c>
      <c r="D8" s="17" t="inlineStr">
        <is>
          <t>Vaste lasten</t>
        </is>
      </c>
      <c r="F8" s="17" t="inlineStr">
        <is>
          <t>Variabele uitgaven</t>
        </is>
      </c>
      <c r="H8" s="17" t="inlineStr">
        <is>
          <t>Spaardoelen</t>
        </is>
      </c>
    </row>
    <row r="9">
      <c r="B9" s="14" t="inlineStr">
        <is>
          <t>Salaris</t>
        </is>
      </c>
      <c r="D9" s="14" t="inlineStr">
        <is>
          <t>Huur/Hypotheek</t>
        </is>
      </c>
      <c r="F9" s="14" t="inlineStr">
        <is>
          <t>Boodschappen</t>
        </is>
      </c>
      <c r="H9" s="14" t="inlineStr">
        <is>
          <t>Noodbuffer</t>
        </is>
      </c>
    </row>
    <row r="10">
      <c r="B10" s="14" t="inlineStr">
        <is>
          <t>Toeslagen</t>
        </is>
      </c>
      <c r="D10" s="14" t="inlineStr">
        <is>
          <t>Energie</t>
        </is>
      </c>
      <c r="F10" s="14" t="inlineStr">
        <is>
          <t>Uit eten</t>
        </is>
      </c>
      <c r="H10" s="14" t="inlineStr">
        <is>
          <t>Vakantie</t>
        </is>
      </c>
    </row>
    <row r="11">
      <c r="B11" s="14" t="inlineStr">
        <is>
          <t>Freelance</t>
        </is>
      </c>
      <c r="D11" s="14" t="inlineStr">
        <is>
          <t>Water</t>
        </is>
      </c>
      <c r="F11" s="14" t="inlineStr">
        <is>
          <t>Kleding</t>
        </is>
      </c>
      <c r="H11" s="14" t="inlineStr">
        <is>
          <t>Grote aankoop</t>
        </is>
      </c>
    </row>
    <row r="12">
      <c r="B12" s="14" t="inlineStr">
        <is>
          <t>Overig</t>
        </is>
      </c>
      <c r="D12" s="14" t="inlineStr">
        <is>
          <t>Zorgverzekering</t>
        </is>
      </c>
      <c r="F12" s="14" t="inlineStr">
        <is>
          <t>Persoonlijke verzorging</t>
        </is>
      </c>
      <c r="H12" s="14" t="inlineStr">
        <is>
          <t>Pensioen/beleggen</t>
        </is>
      </c>
    </row>
    <row r="13">
      <c r="D13" s="14" t="inlineStr">
        <is>
          <t>Overige verzekeringen</t>
        </is>
      </c>
      <c r="F13" s="14" t="inlineStr">
        <is>
          <t>Vervoer/Brandstof</t>
        </is>
      </c>
    </row>
    <row r="14">
      <c r="D14" s="14" t="inlineStr">
        <is>
          <t>Internet &amp; TV</t>
        </is>
      </c>
      <c r="F14" s="14" t="inlineStr">
        <is>
          <t>Cadeaus</t>
        </is>
      </c>
    </row>
    <row r="15">
      <c r="D15" s="14" t="inlineStr">
        <is>
          <t>Telefoon</t>
        </is>
      </c>
      <c r="F15" s="14" t="inlineStr">
        <is>
          <t>Vrije tijd</t>
        </is>
      </c>
    </row>
    <row r="16">
      <c r="D16" s="14" t="inlineStr">
        <is>
          <t>Abonnementen</t>
        </is>
      </c>
      <c r="F16" s="14" t="inlineStr">
        <is>
          <t>Vakantie</t>
        </is>
      </c>
    </row>
    <row r="17">
      <c r="D17" s="14" t="inlineStr">
        <is>
          <t>Gemeentelijke belastingen</t>
        </is>
      </c>
      <c r="F17" s="14" t="inlineStr">
        <is>
          <t>Huis &amp; Tuin</t>
        </is>
      </c>
    </row>
    <row r="18">
      <c r="D18" s="14" t="inlineStr">
        <is>
          <t>Auto/OV</t>
        </is>
      </c>
      <c r="F18" s="14" t="inlineStr">
        <is>
          <t>Gezondheid</t>
        </is>
      </c>
    </row>
    <row r="19">
      <c r="D19" s="14" t="inlineStr">
        <is>
          <t>Kinderopvang</t>
        </is>
      </c>
      <c r="F19" s="14" t="inlineStr">
        <is>
          <t>Overig</t>
        </is>
      </c>
    </row>
    <row r="20">
      <c r="D20" s="14" t="inlineStr">
        <is>
          <t>Aflossing schulden</t>
        </is>
      </c>
    </row>
    <row r="23" ht="30" customHeight="1">
      <c r="B23" s="18" t="inlineStr">
        <is>
          <t>Tip: hernoem categorieën gerust, maar laat de volgorde en het aantal rijen staan. De keuzelijst in het Uitgavenlogboek gebruikt de lijst 'Variabele uitgaven'.</t>
        </is>
      </c>
    </row>
  </sheetData>
  <mergeCells count="1">
    <mergeCell ref="B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F7A61"/>
    <outlinePr summaryBelow="1" summaryRight="1"/>
    <pageSetUpPr/>
  </sheetPr>
  <dimension ref="B1:I2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8" customWidth="1" min="5" max="5"/>
    <col width="14" customWidth="1" min="6" max="6"/>
    <col width="16" customWidth="1" min="7" max="7"/>
    <col width="16" customWidth="1" min="8" max="8"/>
    <col width="14" customWidth="1" min="9" max="9"/>
  </cols>
  <sheetData>
    <row r="1">
      <c r="B1" s="1" t="inlineStr">
        <is>
          <t>Plannerij</t>
        </is>
      </c>
    </row>
    <row r="2" ht="30" customHeight="1">
      <c r="B2" s="2" t="inlineStr">
        <is>
          <t>Jaaroverzicht</t>
        </is>
      </c>
    </row>
    <row r="3">
      <c r="B3" s="3" t="inlineStr">
        <is>
          <t>Werkelijke cijfers uit de twaalf maandtabbladen. Alles rekent automatisch.</t>
        </is>
      </c>
      <c r="D3" s="3">
        <f>IF(Instellingen!$C$5="","",Instellingen!$C$5)</f>
        <v/>
      </c>
    </row>
    <row r="5">
      <c r="B5" s="19" t="inlineStr">
        <is>
          <t>Totaal inkomen</t>
        </is>
      </c>
      <c r="C5" s="20" t="n"/>
      <c r="D5" s="19" t="inlineStr">
        <is>
          <t>Totaal uitgaven</t>
        </is>
      </c>
      <c r="E5" s="20" t="n"/>
      <c r="F5" s="19" t="inlineStr">
        <is>
          <t>Totaal gespaard</t>
        </is>
      </c>
      <c r="G5" s="20" t="n"/>
      <c r="H5" s="19" t="inlineStr">
        <is>
          <t>Gemiddelde spaarquote</t>
        </is>
      </c>
      <c r="I5" s="20" t="n"/>
    </row>
    <row r="6" ht="30" customHeight="1">
      <c r="B6" s="21">
        <f>C21</f>
        <v/>
      </c>
      <c r="C6" s="20" t="n"/>
      <c r="D6" s="21">
        <f>G21</f>
        <v/>
      </c>
      <c r="E6" s="20" t="n"/>
      <c r="F6" s="21">
        <f>F21</f>
        <v/>
      </c>
      <c r="G6" s="20" t="n"/>
      <c r="H6" s="22">
        <f>I22</f>
        <v/>
      </c>
      <c r="I6" s="20" t="n"/>
    </row>
    <row r="8">
      <c r="B8" s="17" t="inlineStr">
        <is>
          <t>Maand</t>
        </is>
      </c>
      <c r="C8" s="23" t="inlineStr">
        <is>
          <t>Inkomen</t>
        </is>
      </c>
      <c r="D8" s="23" t="inlineStr">
        <is>
          <t>Vaste lasten</t>
        </is>
      </c>
      <c r="E8" s="23" t="inlineStr">
        <is>
          <t>Variabele uitgaven</t>
        </is>
      </c>
      <c r="F8" s="23" t="inlineStr">
        <is>
          <t>Sparen</t>
        </is>
      </c>
      <c r="G8" s="23" t="inlineStr">
        <is>
          <t>Totaal uitgaven</t>
        </is>
      </c>
      <c r="H8" s="23" t="inlineStr">
        <is>
          <t>Resultaat</t>
        </is>
      </c>
      <c r="I8" s="23" t="inlineStr">
        <is>
          <t>Spaarquote</t>
        </is>
      </c>
    </row>
    <row r="9">
      <c r="B9" s="13" t="inlineStr">
        <is>
          <t>Januari</t>
        </is>
      </c>
      <c r="C9" s="24">
        <f>'Januari'!D9</f>
        <v/>
      </c>
      <c r="D9" s="24">
        <f>'Januari'!D24</f>
        <v/>
      </c>
      <c r="E9" s="24">
        <f>'Januari'!D38</f>
        <v/>
      </c>
      <c r="F9" s="24">
        <f>'Januari'!D45</f>
        <v/>
      </c>
      <c r="G9" s="24">
        <f>D9+E9</f>
        <v/>
      </c>
      <c r="H9" s="24">
        <f>C9-G9-F9</f>
        <v/>
      </c>
      <c r="I9" s="25">
        <f>IFERROR(F9/C9,0)</f>
        <v/>
      </c>
    </row>
    <row r="10">
      <c r="B10" s="13" t="inlineStr">
        <is>
          <t>Februari</t>
        </is>
      </c>
      <c r="C10" s="24">
        <f>'Februari'!D9</f>
        <v/>
      </c>
      <c r="D10" s="24">
        <f>'Februari'!D24</f>
        <v/>
      </c>
      <c r="E10" s="24">
        <f>'Februari'!D38</f>
        <v/>
      </c>
      <c r="F10" s="24">
        <f>'Februari'!D45</f>
        <v/>
      </c>
      <c r="G10" s="24">
        <f>D10+E10</f>
        <v/>
      </c>
      <c r="H10" s="24">
        <f>C10-G10-F10</f>
        <v/>
      </c>
      <c r="I10" s="25">
        <f>IFERROR(F10/C10,0)</f>
        <v/>
      </c>
    </row>
    <row r="11">
      <c r="B11" s="13" t="inlineStr">
        <is>
          <t>Maart</t>
        </is>
      </c>
      <c r="C11" s="24">
        <f>'Maart'!D9</f>
        <v/>
      </c>
      <c r="D11" s="24">
        <f>'Maart'!D24</f>
        <v/>
      </c>
      <c r="E11" s="24">
        <f>'Maart'!D38</f>
        <v/>
      </c>
      <c r="F11" s="24">
        <f>'Maart'!D45</f>
        <v/>
      </c>
      <c r="G11" s="24">
        <f>D11+E11</f>
        <v/>
      </c>
      <c r="H11" s="24">
        <f>C11-G11-F11</f>
        <v/>
      </c>
      <c r="I11" s="25">
        <f>IFERROR(F11/C11,0)</f>
        <v/>
      </c>
    </row>
    <row r="12">
      <c r="B12" s="13" t="inlineStr">
        <is>
          <t>April</t>
        </is>
      </c>
      <c r="C12" s="24">
        <f>'April'!D9</f>
        <v/>
      </c>
      <c r="D12" s="24">
        <f>'April'!D24</f>
        <v/>
      </c>
      <c r="E12" s="24">
        <f>'April'!D38</f>
        <v/>
      </c>
      <c r="F12" s="24">
        <f>'April'!D45</f>
        <v/>
      </c>
      <c r="G12" s="24">
        <f>D12+E12</f>
        <v/>
      </c>
      <c r="H12" s="24">
        <f>C12-G12-F12</f>
        <v/>
      </c>
      <c r="I12" s="25">
        <f>IFERROR(F12/C12,0)</f>
        <v/>
      </c>
    </row>
    <row r="13">
      <c r="B13" s="13" t="inlineStr">
        <is>
          <t>Mei</t>
        </is>
      </c>
      <c r="C13" s="24">
        <f>'Mei'!D9</f>
        <v/>
      </c>
      <c r="D13" s="24">
        <f>'Mei'!D24</f>
        <v/>
      </c>
      <c r="E13" s="24">
        <f>'Mei'!D38</f>
        <v/>
      </c>
      <c r="F13" s="24">
        <f>'Mei'!D45</f>
        <v/>
      </c>
      <c r="G13" s="24">
        <f>D13+E13</f>
        <v/>
      </c>
      <c r="H13" s="24">
        <f>C13-G13-F13</f>
        <v/>
      </c>
      <c r="I13" s="25">
        <f>IFERROR(F13/C13,0)</f>
        <v/>
      </c>
    </row>
    <row r="14">
      <c r="B14" s="13" t="inlineStr">
        <is>
          <t>Juni</t>
        </is>
      </c>
      <c r="C14" s="24">
        <f>'Juni'!D9</f>
        <v/>
      </c>
      <c r="D14" s="24">
        <f>'Juni'!D24</f>
        <v/>
      </c>
      <c r="E14" s="24">
        <f>'Juni'!D38</f>
        <v/>
      </c>
      <c r="F14" s="24">
        <f>'Juni'!D45</f>
        <v/>
      </c>
      <c r="G14" s="24">
        <f>D14+E14</f>
        <v/>
      </c>
      <c r="H14" s="24">
        <f>C14-G14-F14</f>
        <v/>
      </c>
      <c r="I14" s="25">
        <f>IFERROR(F14/C14,0)</f>
        <v/>
      </c>
    </row>
    <row r="15">
      <c r="B15" s="13" t="inlineStr">
        <is>
          <t>Juli</t>
        </is>
      </c>
      <c r="C15" s="24">
        <f>'Juli'!D9</f>
        <v/>
      </c>
      <c r="D15" s="24">
        <f>'Juli'!D24</f>
        <v/>
      </c>
      <c r="E15" s="24">
        <f>'Juli'!D38</f>
        <v/>
      </c>
      <c r="F15" s="24">
        <f>'Juli'!D45</f>
        <v/>
      </c>
      <c r="G15" s="24">
        <f>D15+E15</f>
        <v/>
      </c>
      <c r="H15" s="24">
        <f>C15-G15-F15</f>
        <v/>
      </c>
      <c r="I15" s="25">
        <f>IFERROR(F15/C15,0)</f>
        <v/>
      </c>
    </row>
    <row r="16">
      <c r="B16" s="13" t="inlineStr">
        <is>
          <t>Augustus</t>
        </is>
      </c>
      <c r="C16" s="24">
        <f>'Augustus'!D9</f>
        <v/>
      </c>
      <c r="D16" s="24">
        <f>'Augustus'!D24</f>
        <v/>
      </c>
      <c r="E16" s="24">
        <f>'Augustus'!D38</f>
        <v/>
      </c>
      <c r="F16" s="24">
        <f>'Augustus'!D45</f>
        <v/>
      </c>
      <c r="G16" s="24">
        <f>D16+E16</f>
        <v/>
      </c>
      <c r="H16" s="24">
        <f>C16-G16-F16</f>
        <v/>
      </c>
      <c r="I16" s="25">
        <f>IFERROR(F16/C16,0)</f>
        <v/>
      </c>
    </row>
    <row r="17">
      <c r="B17" s="13" t="inlineStr">
        <is>
          <t>September</t>
        </is>
      </c>
      <c r="C17" s="24">
        <f>'September'!D9</f>
        <v/>
      </c>
      <c r="D17" s="24">
        <f>'September'!D24</f>
        <v/>
      </c>
      <c r="E17" s="24">
        <f>'September'!D38</f>
        <v/>
      </c>
      <c r="F17" s="24">
        <f>'September'!D45</f>
        <v/>
      </c>
      <c r="G17" s="24">
        <f>D17+E17</f>
        <v/>
      </c>
      <c r="H17" s="24">
        <f>C17-G17-F17</f>
        <v/>
      </c>
      <c r="I17" s="25">
        <f>IFERROR(F17/C17,0)</f>
        <v/>
      </c>
    </row>
    <row r="18">
      <c r="B18" s="13" t="inlineStr">
        <is>
          <t>Oktober</t>
        </is>
      </c>
      <c r="C18" s="24">
        <f>'Oktober'!D9</f>
        <v/>
      </c>
      <c r="D18" s="24">
        <f>'Oktober'!D24</f>
        <v/>
      </c>
      <c r="E18" s="24">
        <f>'Oktober'!D38</f>
        <v/>
      </c>
      <c r="F18" s="24">
        <f>'Oktober'!D45</f>
        <v/>
      </c>
      <c r="G18" s="24">
        <f>D18+E18</f>
        <v/>
      </c>
      <c r="H18" s="24">
        <f>C18-G18-F18</f>
        <v/>
      </c>
      <c r="I18" s="25">
        <f>IFERROR(F18/C18,0)</f>
        <v/>
      </c>
    </row>
    <row r="19">
      <c r="B19" s="13" t="inlineStr">
        <is>
          <t>November</t>
        </is>
      </c>
      <c r="C19" s="24">
        <f>'November'!D9</f>
        <v/>
      </c>
      <c r="D19" s="24">
        <f>'November'!D24</f>
        <v/>
      </c>
      <c r="E19" s="24">
        <f>'November'!D38</f>
        <v/>
      </c>
      <c r="F19" s="24">
        <f>'November'!D45</f>
        <v/>
      </c>
      <c r="G19" s="24">
        <f>D19+E19</f>
        <v/>
      </c>
      <c r="H19" s="24">
        <f>C19-G19-F19</f>
        <v/>
      </c>
      <c r="I19" s="25">
        <f>IFERROR(F19/C19,0)</f>
        <v/>
      </c>
    </row>
    <row r="20">
      <c r="B20" s="13" t="inlineStr">
        <is>
          <t>December</t>
        </is>
      </c>
      <c r="C20" s="24">
        <f>'December'!D9</f>
        <v/>
      </c>
      <c r="D20" s="24">
        <f>'December'!D24</f>
        <v/>
      </c>
      <c r="E20" s="24">
        <f>'December'!D38</f>
        <v/>
      </c>
      <c r="F20" s="24">
        <f>'December'!D45</f>
        <v/>
      </c>
      <c r="G20" s="24">
        <f>D20+E20</f>
        <v/>
      </c>
      <c r="H20" s="24">
        <f>C20-G20-F20</f>
        <v/>
      </c>
      <c r="I20" s="25">
        <f>IFERROR(F20/C20,0)</f>
        <v/>
      </c>
    </row>
    <row r="21">
      <c r="B21" s="26" t="inlineStr">
        <is>
          <t>Totaal</t>
        </is>
      </c>
      <c r="C21" s="27">
        <f>SUM(C9:C20)</f>
        <v/>
      </c>
      <c r="D21" s="27">
        <f>SUM(D9:D20)</f>
        <v/>
      </c>
      <c r="E21" s="27">
        <f>SUM(E9:E20)</f>
        <v/>
      </c>
      <c r="F21" s="27">
        <f>SUM(F9:F20)</f>
        <v/>
      </c>
      <c r="G21" s="27">
        <f>SUM(G9:G20)</f>
        <v/>
      </c>
      <c r="H21" s="27">
        <f>SUM(H9:H20)</f>
        <v/>
      </c>
      <c r="I21" s="28">
        <f>IFERROR(F21/C21,0)</f>
        <v/>
      </c>
    </row>
    <row r="22">
      <c r="B22" s="26" t="inlineStr">
        <is>
          <t>Gemiddelde</t>
        </is>
      </c>
      <c r="C22" s="27">
        <f>AVERAGE(C9:C20)</f>
        <v/>
      </c>
      <c r="D22" s="27">
        <f>AVERAGE(D9:D20)</f>
        <v/>
      </c>
      <c r="E22" s="27">
        <f>AVERAGE(E9:E20)</f>
        <v/>
      </c>
      <c r="F22" s="27">
        <f>AVERAGE(F9:F20)</f>
        <v/>
      </c>
      <c r="G22" s="27">
        <f>AVERAGE(G9:G20)</f>
        <v/>
      </c>
      <c r="H22" s="27">
        <f>AVERAGE(H9:H20)</f>
        <v/>
      </c>
      <c r="I22" s="28">
        <f>IFERROR(F21/C21,0)</f>
        <v/>
      </c>
    </row>
    <row r="23">
      <c r="B23" s="12" t="inlineStr">
        <is>
          <t>Resultaat = Inkomen – Totaal uitgaven – Sparen. Spaarquote = Sparen ÷ Inkomen.</t>
        </is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conditionalFormatting sqref="H9:H22">
    <cfRule type="cellIs" priority="1" operator="less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5F7A61"/>
    <outlinePr summaryBelow="1" summaryRight="1"/>
    <pageSetUpPr/>
  </sheetPr>
  <dimension ref="B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3" customWidth="1" min="6" max="6"/>
    <col width="14" customWidth="1" min="7" max="7"/>
    <col width="32" customWidth="1" min="8" max="8"/>
    <col width="26" customWidth="1" min="9" max="9"/>
    <col width="14" customWidth="1" min="10" max="10"/>
  </cols>
  <sheetData>
    <row r="1">
      <c r="B1" s="1" t="inlineStr">
        <is>
          <t>Plannerij</t>
        </is>
      </c>
    </row>
    <row r="2" ht="30" customHeight="1">
      <c r="B2" s="2" t="inlineStr">
        <is>
          <t>Januari</t>
        </is>
      </c>
    </row>
    <row r="3">
      <c r="B3" s="3">
        <f>IF(Instellingen!$C$5="","",Instellingen!$C$5)</f>
        <v/>
      </c>
    </row>
    <row r="4">
      <c r="B4" s="17" t="inlineStr">
        <is>
          <t>A · Inkomen</t>
        </is>
      </c>
      <c r="C4" s="23" t="inlineStr">
        <is>
          <t>Begroot</t>
        </is>
      </c>
      <c r="D4" s="23" t="inlineStr">
        <is>
          <t>Werkelijk</t>
        </is>
      </c>
      <c r="E4" s="23" t="inlineStr">
        <is>
          <t>Verschil</t>
        </is>
      </c>
      <c r="G4" s="17" t="inlineStr">
        <is>
          <t>Samenvatting</t>
        </is>
      </c>
      <c r="H4" s="20" t="n"/>
      <c r="I4" s="23" t="inlineStr">
        <is>
          <t>Begroot</t>
        </is>
      </c>
      <c r="J4" s="23" t="inlineStr">
        <is>
          <t>Werkelijk</t>
        </is>
      </c>
    </row>
    <row r="5">
      <c r="B5" s="29">
        <f>Instellingen!$B$9</f>
        <v/>
      </c>
      <c r="C5" s="30" t="n"/>
      <c r="D5" s="30" t="n"/>
      <c r="E5" s="24">
        <f>D5-C5</f>
        <v/>
      </c>
      <c r="G5" s="31" t="inlineStr">
        <is>
          <t>Totaal inkomen</t>
        </is>
      </c>
      <c r="H5" s="20" t="n"/>
      <c r="I5" s="32">
        <f>C9</f>
        <v/>
      </c>
      <c r="J5" s="32">
        <f>D9</f>
        <v/>
      </c>
    </row>
    <row r="6">
      <c r="B6" s="29">
        <f>Instellingen!$B$10</f>
        <v/>
      </c>
      <c r="C6" s="30" t="n"/>
      <c r="D6" s="30" t="n"/>
      <c r="E6" s="24">
        <f>D6-C6</f>
        <v/>
      </c>
      <c r="G6" s="31" t="inlineStr">
        <is>
          <t>Totaal uitgaven</t>
        </is>
      </c>
      <c r="H6" s="20" t="n"/>
      <c r="I6" s="32">
        <f>C24+C38</f>
        <v/>
      </c>
      <c r="J6" s="32">
        <f>D24+D38</f>
        <v/>
      </c>
    </row>
    <row r="7">
      <c r="B7" s="29">
        <f>Instellingen!$B$11</f>
        <v/>
      </c>
      <c r="C7" s="30" t="n"/>
      <c r="D7" s="30" t="n"/>
      <c r="E7" s="24">
        <f>D7-C7</f>
        <v/>
      </c>
      <c r="G7" s="31" t="inlineStr">
        <is>
          <t>Gespaard</t>
        </is>
      </c>
      <c r="H7" s="20" t="n"/>
      <c r="I7" s="32">
        <f>C45</f>
        <v/>
      </c>
      <c r="J7" s="32">
        <f>D45</f>
        <v/>
      </c>
    </row>
    <row r="8">
      <c r="B8" s="29">
        <f>Instellingen!$B$12</f>
        <v/>
      </c>
      <c r="C8" s="30" t="n"/>
      <c r="D8" s="30" t="n"/>
      <c r="E8" s="24">
        <f>D8-C8</f>
        <v/>
      </c>
      <c r="G8" s="26" t="inlineStr">
        <is>
          <t>Over / tekort</t>
        </is>
      </c>
      <c r="H8" s="20" t="n"/>
      <c r="I8" s="27">
        <f>I5-I6-I7</f>
        <v/>
      </c>
      <c r="J8" s="27">
        <f>J5-J6-J7</f>
        <v/>
      </c>
    </row>
    <row r="9">
      <c r="B9" s="26" t="inlineStr">
        <is>
          <t>Subtotaal</t>
        </is>
      </c>
      <c r="C9" s="27">
        <f>SUM(C5:C8)</f>
        <v/>
      </c>
      <c r="D9" s="27">
        <f>SUM(D5:D8)</f>
        <v/>
      </c>
      <c r="E9" s="27">
        <f>SUM(E5:E8)</f>
        <v/>
      </c>
    </row>
    <row r="10">
      <c r="G10" s="4" t="inlineStr">
        <is>
          <t>Uitgavenlogboek</t>
        </is>
      </c>
      <c r="I10" s="12" t="inlineStr">
        <is>
          <t>Kies een categorie uit de lijst; het bedrag telt automatisch op bij Variabele uitgaven.</t>
        </is>
      </c>
    </row>
    <row r="11">
      <c r="B11" s="17" t="inlineStr">
        <is>
          <t>B · Vaste lasten</t>
        </is>
      </c>
      <c r="C11" s="23" t="inlineStr">
        <is>
          <t>Begroot</t>
        </is>
      </c>
      <c r="D11" s="23" t="inlineStr">
        <is>
          <t>Werkelijk</t>
        </is>
      </c>
      <c r="E11" s="23" t="inlineStr">
        <is>
          <t>Verschil</t>
        </is>
      </c>
      <c r="G11" s="17" t="inlineStr">
        <is>
          <t>Datum</t>
        </is>
      </c>
      <c r="H11" s="23" t="inlineStr">
        <is>
          <t>Omschrijving</t>
        </is>
      </c>
      <c r="I11" s="23" t="inlineStr">
        <is>
          <t>Categorie</t>
        </is>
      </c>
      <c r="J11" s="23" t="inlineStr">
        <is>
          <t>Bedrag</t>
        </is>
      </c>
    </row>
    <row r="12">
      <c r="B12" s="29">
        <f>Instellingen!$D$9</f>
        <v/>
      </c>
      <c r="C12" s="30" t="n"/>
      <c r="D12" s="30" t="n"/>
      <c r="E12" s="24">
        <f>C12-D12</f>
        <v/>
      </c>
      <c r="G12" s="33" t="n"/>
      <c r="H12" s="14" t="n"/>
      <c r="I12" s="14" t="n"/>
      <c r="J12" s="30" t="n"/>
    </row>
    <row r="13">
      <c r="B13" s="29">
        <f>Instellingen!$D$10</f>
        <v/>
      </c>
      <c r="C13" s="30" t="n"/>
      <c r="D13" s="30" t="n"/>
      <c r="E13" s="24">
        <f>C13-D13</f>
        <v/>
      </c>
      <c r="G13" s="33" t="n"/>
      <c r="H13" s="14" t="n"/>
      <c r="I13" s="14" t="n"/>
      <c r="J13" s="30" t="n"/>
    </row>
    <row r="14">
      <c r="B14" s="29">
        <f>Instellingen!$D$11</f>
        <v/>
      </c>
      <c r="C14" s="30" t="n"/>
      <c r="D14" s="30" t="n"/>
      <c r="E14" s="24">
        <f>C14-D14</f>
        <v/>
      </c>
      <c r="G14" s="33" t="n"/>
      <c r="H14" s="14" t="n"/>
      <c r="I14" s="14" t="n"/>
      <c r="J14" s="30" t="n"/>
    </row>
    <row r="15">
      <c r="B15" s="29">
        <f>Instellingen!$D$12</f>
        <v/>
      </c>
      <c r="C15" s="30" t="n"/>
      <c r="D15" s="30" t="n"/>
      <c r="E15" s="24">
        <f>C15-D15</f>
        <v/>
      </c>
      <c r="G15" s="33" t="n"/>
      <c r="H15" s="14" t="n"/>
      <c r="I15" s="14" t="n"/>
      <c r="J15" s="30" t="n"/>
    </row>
    <row r="16">
      <c r="B16" s="29">
        <f>Instellingen!$D$13</f>
        <v/>
      </c>
      <c r="C16" s="30" t="n"/>
      <c r="D16" s="30" t="n"/>
      <c r="E16" s="24">
        <f>C16-D16</f>
        <v/>
      </c>
      <c r="G16" s="33" t="n"/>
      <c r="H16" s="14" t="n"/>
      <c r="I16" s="14" t="n"/>
      <c r="J16" s="30" t="n"/>
    </row>
    <row r="17">
      <c r="B17" s="29">
        <f>Instellingen!$D$14</f>
        <v/>
      </c>
      <c r="C17" s="30" t="n"/>
      <c r="D17" s="30" t="n"/>
      <c r="E17" s="24">
        <f>C17-D17</f>
        <v/>
      </c>
      <c r="G17" s="33" t="n"/>
      <c r="H17" s="14" t="n"/>
      <c r="I17" s="14" t="n"/>
      <c r="J17" s="30" t="n"/>
    </row>
    <row r="18">
      <c r="B18" s="29">
        <f>Instellingen!$D$15</f>
        <v/>
      </c>
      <c r="C18" s="30" t="n"/>
      <c r="D18" s="30" t="n"/>
      <c r="E18" s="24">
        <f>C18-D18</f>
        <v/>
      </c>
      <c r="G18" s="33" t="n"/>
      <c r="H18" s="14" t="n"/>
      <c r="I18" s="14" t="n"/>
      <c r="J18" s="30" t="n"/>
    </row>
    <row r="19">
      <c r="B19" s="29">
        <f>Instellingen!$D$16</f>
        <v/>
      </c>
      <c r="C19" s="30" t="n"/>
      <c r="D19" s="30" t="n"/>
      <c r="E19" s="24">
        <f>C19-D19</f>
        <v/>
      </c>
      <c r="G19" s="33" t="n"/>
      <c r="H19" s="14" t="n"/>
      <c r="I19" s="14" t="n"/>
      <c r="J19" s="30" t="n"/>
    </row>
    <row r="20">
      <c r="B20" s="29">
        <f>Instellingen!$D$17</f>
        <v/>
      </c>
      <c r="C20" s="30" t="n"/>
      <c r="D20" s="30" t="n"/>
      <c r="E20" s="24">
        <f>C20-D20</f>
        <v/>
      </c>
      <c r="G20" s="33" t="n"/>
      <c r="H20" s="14" t="n"/>
      <c r="I20" s="14" t="n"/>
      <c r="J20" s="30" t="n"/>
    </row>
    <row r="21">
      <c r="B21" s="29">
        <f>Instellingen!$D$18</f>
        <v/>
      </c>
      <c r="C21" s="30" t="n"/>
      <c r="D21" s="30" t="n"/>
      <c r="E21" s="24">
        <f>C21-D21</f>
        <v/>
      </c>
      <c r="G21" s="33" t="n"/>
      <c r="H21" s="14" t="n"/>
      <c r="I21" s="14" t="n"/>
      <c r="J21" s="30" t="n"/>
    </row>
    <row r="22">
      <c r="B22" s="29">
        <f>Instellingen!$D$19</f>
        <v/>
      </c>
      <c r="C22" s="30" t="n"/>
      <c r="D22" s="30" t="n"/>
      <c r="E22" s="24">
        <f>C22-D22</f>
        <v/>
      </c>
      <c r="G22" s="33" t="n"/>
      <c r="H22" s="14" t="n"/>
      <c r="I22" s="14" t="n"/>
      <c r="J22" s="30" t="n"/>
    </row>
    <row r="23">
      <c r="B23" s="29">
        <f>Instellingen!$D$20</f>
        <v/>
      </c>
      <c r="C23" s="30" t="n"/>
      <c r="D23" s="30" t="n"/>
      <c r="E23" s="24">
        <f>C23-D23</f>
        <v/>
      </c>
      <c r="G23" s="33" t="n"/>
      <c r="H23" s="14" t="n"/>
      <c r="I23" s="14" t="n"/>
      <c r="J23" s="30" t="n"/>
    </row>
    <row r="24">
      <c r="B24" s="26" t="inlineStr">
        <is>
          <t>Subtotaal</t>
        </is>
      </c>
      <c r="C24" s="27">
        <f>SUM(C12:C23)</f>
        <v/>
      </c>
      <c r="D24" s="27">
        <f>SUM(D12:D23)</f>
        <v/>
      </c>
      <c r="E24" s="27">
        <f>SUM(E12:E23)</f>
        <v/>
      </c>
      <c r="G24" s="33" t="n"/>
      <c r="H24" s="14" t="n"/>
      <c r="I24" s="14" t="n"/>
      <c r="J24" s="30" t="n"/>
    </row>
    <row r="25">
      <c r="G25" s="33" t="n"/>
      <c r="H25" s="14" t="n"/>
      <c r="I25" s="14" t="n"/>
      <c r="J25" s="30" t="n"/>
    </row>
    <row r="26">
      <c r="B26" s="17" t="inlineStr">
        <is>
          <t>C · Variabele uitgaven</t>
        </is>
      </c>
      <c r="C26" s="23" t="inlineStr">
        <is>
          <t>Begroot</t>
        </is>
      </c>
      <c r="D26" s="23" t="inlineStr">
        <is>
          <t>Werkelijk</t>
        </is>
      </c>
      <c r="E26" s="23" t="inlineStr">
        <is>
          <t>Verschil</t>
        </is>
      </c>
      <c r="G26" s="33" t="n"/>
      <c r="H26" s="14" t="n"/>
      <c r="I26" s="14" t="n"/>
      <c r="J26" s="30" t="n"/>
    </row>
    <row r="27">
      <c r="B27" s="29">
        <f>Instellingen!$F$9</f>
        <v/>
      </c>
      <c r="C27" s="30" t="n"/>
      <c r="D27" s="24">
        <f>SUMIF($I$12:$I$51,B27,$J$12:$J$51)</f>
        <v/>
      </c>
      <c r="E27" s="24">
        <f>C27-D27</f>
        <v/>
      </c>
      <c r="G27" s="33" t="n"/>
      <c r="H27" s="14" t="n"/>
      <c r="I27" s="14" t="n"/>
      <c r="J27" s="30" t="n"/>
    </row>
    <row r="28">
      <c r="B28" s="29">
        <f>Instellingen!$F$10</f>
        <v/>
      </c>
      <c r="C28" s="30" t="n"/>
      <c r="D28" s="24">
        <f>SUMIF($I$12:$I$51,B28,$J$12:$J$51)</f>
        <v/>
      </c>
      <c r="E28" s="24">
        <f>C28-D28</f>
        <v/>
      </c>
      <c r="G28" s="33" t="n"/>
      <c r="H28" s="14" t="n"/>
      <c r="I28" s="14" t="n"/>
      <c r="J28" s="30" t="n"/>
    </row>
    <row r="29">
      <c r="B29" s="29">
        <f>Instellingen!$F$11</f>
        <v/>
      </c>
      <c r="C29" s="30" t="n"/>
      <c r="D29" s="24">
        <f>SUMIF($I$12:$I$51,B29,$J$12:$J$51)</f>
        <v/>
      </c>
      <c r="E29" s="24">
        <f>C29-D29</f>
        <v/>
      </c>
      <c r="G29" s="33" t="n"/>
      <c r="H29" s="14" t="n"/>
      <c r="I29" s="14" t="n"/>
      <c r="J29" s="30" t="n"/>
    </row>
    <row r="30">
      <c r="B30" s="29">
        <f>Instellingen!$F$12</f>
        <v/>
      </c>
      <c r="C30" s="30" t="n"/>
      <c r="D30" s="24">
        <f>SUMIF($I$12:$I$51,B30,$J$12:$J$51)</f>
        <v/>
      </c>
      <c r="E30" s="24">
        <f>C30-D30</f>
        <v/>
      </c>
      <c r="G30" s="33" t="n"/>
      <c r="H30" s="14" t="n"/>
      <c r="I30" s="14" t="n"/>
      <c r="J30" s="30" t="n"/>
    </row>
    <row r="31">
      <c r="B31" s="29">
        <f>Instellingen!$F$13</f>
        <v/>
      </c>
      <c r="C31" s="30" t="n"/>
      <c r="D31" s="24">
        <f>SUMIF($I$12:$I$51,B31,$J$12:$J$51)</f>
        <v/>
      </c>
      <c r="E31" s="24">
        <f>C31-D31</f>
        <v/>
      </c>
      <c r="G31" s="33" t="n"/>
      <c r="H31" s="14" t="n"/>
      <c r="I31" s="14" t="n"/>
      <c r="J31" s="30" t="n"/>
    </row>
    <row r="32">
      <c r="B32" s="29">
        <f>Instellingen!$F$14</f>
        <v/>
      </c>
      <c r="C32" s="30" t="n"/>
      <c r="D32" s="24">
        <f>SUMIF($I$12:$I$51,B32,$J$12:$J$51)</f>
        <v/>
      </c>
      <c r="E32" s="24">
        <f>C32-D32</f>
        <v/>
      </c>
      <c r="G32" s="33" t="n"/>
      <c r="H32" s="14" t="n"/>
      <c r="I32" s="14" t="n"/>
      <c r="J32" s="30" t="n"/>
    </row>
    <row r="33">
      <c r="B33" s="29">
        <f>Instellingen!$F$15</f>
        <v/>
      </c>
      <c r="C33" s="30" t="n"/>
      <c r="D33" s="24">
        <f>SUMIF($I$12:$I$51,B33,$J$12:$J$51)</f>
        <v/>
      </c>
      <c r="E33" s="24">
        <f>C33-D33</f>
        <v/>
      </c>
      <c r="G33" s="33" t="n"/>
      <c r="H33" s="14" t="n"/>
      <c r="I33" s="14" t="n"/>
      <c r="J33" s="30" t="n"/>
    </row>
    <row r="34">
      <c r="B34" s="29">
        <f>Instellingen!$F$16</f>
        <v/>
      </c>
      <c r="C34" s="30" t="n"/>
      <c r="D34" s="24">
        <f>SUMIF($I$12:$I$51,B34,$J$12:$J$51)</f>
        <v/>
      </c>
      <c r="E34" s="24">
        <f>C34-D34</f>
        <v/>
      </c>
      <c r="G34" s="33" t="n"/>
      <c r="H34" s="14" t="n"/>
      <c r="I34" s="14" t="n"/>
      <c r="J34" s="30" t="n"/>
    </row>
    <row r="35">
      <c r="B35" s="29">
        <f>Instellingen!$F$17</f>
        <v/>
      </c>
      <c r="C35" s="30" t="n"/>
      <c r="D35" s="24">
        <f>SUMIF($I$12:$I$51,B35,$J$12:$J$51)</f>
        <v/>
      </c>
      <c r="E35" s="24">
        <f>C35-D35</f>
        <v/>
      </c>
      <c r="G35" s="33" t="n"/>
      <c r="H35" s="14" t="n"/>
      <c r="I35" s="14" t="n"/>
      <c r="J35" s="30" t="n"/>
    </row>
    <row r="36">
      <c r="B36" s="29">
        <f>Instellingen!$F$18</f>
        <v/>
      </c>
      <c r="C36" s="30" t="n"/>
      <c r="D36" s="24">
        <f>SUMIF($I$12:$I$51,B36,$J$12:$J$51)</f>
        <v/>
      </c>
      <c r="E36" s="24">
        <f>C36-D36</f>
        <v/>
      </c>
      <c r="G36" s="33" t="n"/>
      <c r="H36" s="14" t="n"/>
      <c r="I36" s="14" t="n"/>
      <c r="J36" s="30" t="n"/>
    </row>
    <row r="37">
      <c r="B37" s="29">
        <f>Instellingen!$F$19</f>
        <v/>
      </c>
      <c r="C37" s="30" t="n"/>
      <c r="D37" s="24">
        <f>SUMIF($I$12:$I$51,B37,$J$12:$J$51)</f>
        <v/>
      </c>
      <c r="E37" s="24">
        <f>C37-D37</f>
        <v/>
      </c>
      <c r="G37" s="33" t="n"/>
      <c r="H37" s="14" t="n"/>
      <c r="I37" s="14" t="n"/>
      <c r="J37" s="30" t="n"/>
    </row>
    <row r="38">
      <c r="B38" s="26" t="inlineStr">
        <is>
          <t>Subtotaal</t>
        </is>
      </c>
      <c r="C38" s="27">
        <f>SUM(C27:C37)</f>
        <v/>
      </c>
      <c r="D38" s="27">
        <f>SUM(D27:D37)</f>
        <v/>
      </c>
      <c r="E38" s="27">
        <f>SUM(E27:E37)</f>
        <v/>
      </c>
      <c r="G38" s="33" t="n"/>
      <c r="H38" s="14" t="n"/>
      <c r="I38" s="14" t="n"/>
      <c r="J38" s="30" t="n"/>
    </row>
    <row r="39">
      <c r="G39" s="33" t="n"/>
      <c r="H39" s="14" t="n"/>
      <c r="I39" s="14" t="n"/>
      <c r="J39" s="30" t="n"/>
    </row>
    <row r="40">
      <c r="B40" s="17" t="inlineStr">
        <is>
          <t>D · Sparen</t>
        </is>
      </c>
      <c r="C40" s="23" t="inlineStr">
        <is>
          <t>Begroot</t>
        </is>
      </c>
      <c r="D40" s="23" t="inlineStr">
        <is>
          <t>Werkelijk</t>
        </is>
      </c>
      <c r="E40" s="23" t="inlineStr">
        <is>
          <t>Verschil</t>
        </is>
      </c>
      <c r="G40" s="33" t="n"/>
      <c r="H40" s="14" t="n"/>
      <c r="I40" s="14" t="n"/>
      <c r="J40" s="30" t="n"/>
    </row>
    <row r="41">
      <c r="B41" s="29">
        <f>Instellingen!$H$9</f>
        <v/>
      </c>
      <c r="C41" s="30" t="n"/>
      <c r="D41" s="30" t="n"/>
      <c r="E41" s="24">
        <f>D41-C41</f>
        <v/>
      </c>
      <c r="G41" s="33" t="n"/>
      <c r="H41" s="14" t="n"/>
      <c r="I41" s="14" t="n"/>
      <c r="J41" s="30" t="n"/>
    </row>
    <row r="42">
      <c r="B42" s="29">
        <f>Instellingen!$H$10</f>
        <v/>
      </c>
      <c r="C42" s="30" t="n"/>
      <c r="D42" s="30" t="n"/>
      <c r="E42" s="24">
        <f>D42-C42</f>
        <v/>
      </c>
      <c r="G42" s="33" t="n"/>
      <c r="H42" s="14" t="n"/>
      <c r="I42" s="14" t="n"/>
      <c r="J42" s="30" t="n"/>
    </row>
    <row r="43">
      <c r="B43" s="29">
        <f>Instellingen!$H$11</f>
        <v/>
      </c>
      <c r="C43" s="30" t="n"/>
      <c r="D43" s="30" t="n"/>
      <c r="E43" s="24">
        <f>D43-C43</f>
        <v/>
      </c>
      <c r="G43" s="33" t="n"/>
      <c r="H43" s="14" t="n"/>
      <c r="I43" s="14" t="n"/>
      <c r="J43" s="30" t="n"/>
    </row>
    <row r="44">
      <c r="B44" s="29">
        <f>Instellingen!$H$12</f>
        <v/>
      </c>
      <c r="C44" s="30" t="n"/>
      <c r="D44" s="30" t="n"/>
      <c r="E44" s="24">
        <f>D44-C44</f>
        <v/>
      </c>
      <c r="G44" s="33" t="n"/>
      <c r="H44" s="14" t="n"/>
      <c r="I44" s="14" t="n"/>
      <c r="J44" s="30" t="n"/>
    </row>
    <row r="45">
      <c r="B45" s="26" t="inlineStr">
        <is>
          <t>Subtotaal</t>
        </is>
      </c>
      <c r="C45" s="27">
        <f>SUM(C41:C44)</f>
        <v/>
      </c>
      <c r="D45" s="27">
        <f>SUM(D41:D44)</f>
        <v/>
      </c>
      <c r="E45" s="27">
        <f>SUM(E41:E44)</f>
        <v/>
      </c>
      <c r="G45" s="33" t="n"/>
      <c r="H45" s="14" t="n"/>
      <c r="I45" s="14" t="n"/>
      <c r="J45" s="30" t="n"/>
    </row>
    <row r="46">
      <c r="B46" s="12" t="inlineStr">
        <is>
          <t>Werkelijk bij variabele uitgaven wordt automatisch gevuld vanuit het Uitgavenlogboek.</t>
        </is>
      </c>
      <c r="G46" s="33" t="n"/>
      <c r="H46" s="14" t="n"/>
      <c r="I46" s="14" t="n"/>
      <c r="J46" s="30" t="n"/>
    </row>
    <row r="47">
      <c r="G47" s="33" t="n"/>
      <c r="H47" s="14" t="n"/>
      <c r="I47" s="14" t="n"/>
      <c r="J47" s="30" t="n"/>
    </row>
    <row r="48">
      <c r="G48" s="33" t="n"/>
      <c r="H48" s="14" t="n"/>
      <c r="I48" s="14" t="n"/>
      <c r="J48" s="30" t="n"/>
    </row>
    <row r="49">
      <c r="G49" s="33" t="n"/>
      <c r="H49" s="14" t="n"/>
      <c r="I49" s="14" t="n"/>
      <c r="J49" s="30" t="n"/>
    </row>
    <row r="50">
      <c r="G50" s="33" t="n"/>
      <c r="H50" s="14" t="n"/>
      <c r="I50" s="14" t="n"/>
      <c r="J50" s="30" t="n"/>
    </row>
    <row r="51">
      <c r="G51" s="33" t="n"/>
      <c r="H51" s="14" t="n"/>
      <c r="I51" s="14" t="n"/>
      <c r="J51" s="30" t="n"/>
    </row>
    <row r="52">
      <c r="G52" s="26" t="inlineStr">
        <is>
          <t>Totaal logboek</t>
        </is>
      </c>
      <c r="H52" s="34" t="n"/>
      <c r="I52" s="20" t="n"/>
      <c r="J52" s="27">
        <f>SUM(J12:J51)</f>
        <v/>
      </c>
    </row>
  </sheetData>
  <mergeCells count="6">
    <mergeCell ref="G4:H4"/>
    <mergeCell ref="G7:H7"/>
    <mergeCell ref="G5:H5"/>
    <mergeCell ref="G6:H6"/>
    <mergeCell ref="G8:H8"/>
    <mergeCell ref="G52:I52"/>
  </mergeCells>
  <conditionalFormatting sqref="E5:E9">
    <cfRule type="cellIs" priority="1" operator="lessThan" dxfId="0">
      <formula>0</formula>
    </cfRule>
  </conditionalFormatting>
  <conditionalFormatting sqref="E12:E24">
    <cfRule type="cellIs" priority="2" operator="lessThan" dxfId="0">
      <formula>0</formula>
    </cfRule>
  </conditionalFormatting>
  <conditionalFormatting sqref="E27:E38">
    <cfRule type="cellIs" priority="3" operator="lessThan" dxfId="0">
      <formula>0</formula>
    </cfRule>
  </conditionalFormatting>
  <conditionalFormatting sqref="E41:E45">
    <cfRule type="cellIs" priority="4" operator="lessThan" dxfId="0">
      <formula>0</formula>
    </cfRule>
  </conditionalFormatting>
  <conditionalFormatting sqref="I8:J8">
    <cfRule type="cellIs" priority="5" operator="lessThan" dxfId="0">
      <formula>0</formula>
    </cfRule>
  </conditionalFormatting>
  <dataValidations count="1">
    <dataValidation sqref="I12:I51" showDropDown="0" showInputMessage="0" showErrorMessage="1" allowBlank="1" errorTitle="Onbekende categorie" error="Kies een categorie uit de lijst (aanpassen kan op het tabblad Instellingen)." type="list">
      <formula1>=Instellingen!$F$9:$F$19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F7A61"/>
    <outlinePr summaryBelow="1" summaryRight="1"/>
    <pageSetUpPr/>
  </sheetPr>
  <dimension ref="B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3" customWidth="1" min="6" max="6"/>
    <col width="14" customWidth="1" min="7" max="7"/>
    <col width="32" customWidth="1" min="8" max="8"/>
    <col width="26" customWidth="1" min="9" max="9"/>
    <col width="14" customWidth="1" min="10" max="10"/>
  </cols>
  <sheetData>
    <row r="1">
      <c r="B1" s="1" t="inlineStr">
        <is>
          <t>Plannerij</t>
        </is>
      </c>
    </row>
    <row r="2" ht="30" customHeight="1">
      <c r="B2" s="2" t="inlineStr">
        <is>
          <t>Februari</t>
        </is>
      </c>
    </row>
    <row r="3">
      <c r="B3" s="3">
        <f>IF(Instellingen!$C$5="","",Instellingen!$C$5)</f>
        <v/>
      </c>
    </row>
    <row r="4">
      <c r="B4" s="17" t="inlineStr">
        <is>
          <t>A · Inkomen</t>
        </is>
      </c>
      <c r="C4" s="23" t="inlineStr">
        <is>
          <t>Begroot</t>
        </is>
      </c>
      <c r="D4" s="23" t="inlineStr">
        <is>
          <t>Werkelijk</t>
        </is>
      </c>
      <c r="E4" s="23" t="inlineStr">
        <is>
          <t>Verschil</t>
        </is>
      </c>
      <c r="G4" s="17" t="inlineStr">
        <is>
          <t>Samenvatting</t>
        </is>
      </c>
      <c r="H4" s="20" t="n"/>
      <c r="I4" s="23" t="inlineStr">
        <is>
          <t>Begroot</t>
        </is>
      </c>
      <c r="J4" s="23" t="inlineStr">
        <is>
          <t>Werkelijk</t>
        </is>
      </c>
    </row>
    <row r="5">
      <c r="B5" s="29">
        <f>Instellingen!$B$9</f>
        <v/>
      </c>
      <c r="C5" s="30" t="n"/>
      <c r="D5" s="30" t="n"/>
      <c r="E5" s="24">
        <f>D5-C5</f>
        <v/>
      </c>
      <c r="G5" s="31" t="inlineStr">
        <is>
          <t>Totaal inkomen</t>
        </is>
      </c>
      <c r="H5" s="20" t="n"/>
      <c r="I5" s="32">
        <f>C9</f>
        <v/>
      </c>
      <c r="J5" s="32">
        <f>D9</f>
        <v/>
      </c>
    </row>
    <row r="6">
      <c r="B6" s="29">
        <f>Instellingen!$B$10</f>
        <v/>
      </c>
      <c r="C6" s="30" t="n"/>
      <c r="D6" s="30" t="n"/>
      <c r="E6" s="24">
        <f>D6-C6</f>
        <v/>
      </c>
      <c r="G6" s="31" t="inlineStr">
        <is>
          <t>Totaal uitgaven</t>
        </is>
      </c>
      <c r="H6" s="20" t="n"/>
      <c r="I6" s="32">
        <f>C24+C38</f>
        <v/>
      </c>
      <c r="J6" s="32">
        <f>D24+D38</f>
        <v/>
      </c>
    </row>
    <row r="7">
      <c r="B7" s="29">
        <f>Instellingen!$B$11</f>
        <v/>
      </c>
      <c r="C7" s="30" t="n"/>
      <c r="D7" s="30" t="n"/>
      <c r="E7" s="24">
        <f>D7-C7</f>
        <v/>
      </c>
      <c r="G7" s="31" t="inlineStr">
        <is>
          <t>Gespaard</t>
        </is>
      </c>
      <c r="H7" s="20" t="n"/>
      <c r="I7" s="32">
        <f>C45</f>
        <v/>
      </c>
      <c r="J7" s="32">
        <f>D45</f>
        <v/>
      </c>
    </row>
    <row r="8">
      <c r="B8" s="29">
        <f>Instellingen!$B$12</f>
        <v/>
      </c>
      <c r="C8" s="30" t="n"/>
      <c r="D8" s="30" t="n"/>
      <c r="E8" s="24">
        <f>D8-C8</f>
        <v/>
      </c>
      <c r="G8" s="26" t="inlineStr">
        <is>
          <t>Over / tekort</t>
        </is>
      </c>
      <c r="H8" s="20" t="n"/>
      <c r="I8" s="27">
        <f>I5-I6-I7</f>
        <v/>
      </c>
      <c r="J8" s="27">
        <f>J5-J6-J7</f>
        <v/>
      </c>
    </row>
    <row r="9">
      <c r="B9" s="26" t="inlineStr">
        <is>
          <t>Subtotaal</t>
        </is>
      </c>
      <c r="C9" s="27">
        <f>SUM(C5:C8)</f>
        <v/>
      </c>
      <c r="D9" s="27">
        <f>SUM(D5:D8)</f>
        <v/>
      </c>
      <c r="E9" s="27">
        <f>SUM(E5:E8)</f>
        <v/>
      </c>
    </row>
    <row r="10">
      <c r="G10" s="4" t="inlineStr">
        <is>
          <t>Uitgavenlogboek</t>
        </is>
      </c>
      <c r="I10" s="12" t="inlineStr">
        <is>
          <t>Kies een categorie uit de lijst; het bedrag telt automatisch op bij Variabele uitgaven.</t>
        </is>
      </c>
    </row>
    <row r="11">
      <c r="B11" s="17" t="inlineStr">
        <is>
          <t>B · Vaste lasten</t>
        </is>
      </c>
      <c r="C11" s="23" t="inlineStr">
        <is>
          <t>Begroot</t>
        </is>
      </c>
      <c r="D11" s="23" t="inlineStr">
        <is>
          <t>Werkelijk</t>
        </is>
      </c>
      <c r="E11" s="23" t="inlineStr">
        <is>
          <t>Verschil</t>
        </is>
      </c>
      <c r="G11" s="17" t="inlineStr">
        <is>
          <t>Datum</t>
        </is>
      </c>
      <c r="H11" s="23" t="inlineStr">
        <is>
          <t>Omschrijving</t>
        </is>
      </c>
      <c r="I11" s="23" t="inlineStr">
        <is>
          <t>Categorie</t>
        </is>
      </c>
      <c r="J11" s="23" t="inlineStr">
        <is>
          <t>Bedrag</t>
        </is>
      </c>
    </row>
    <row r="12">
      <c r="B12" s="29">
        <f>Instellingen!$D$9</f>
        <v/>
      </c>
      <c r="C12" s="30" t="n"/>
      <c r="D12" s="30" t="n"/>
      <c r="E12" s="24">
        <f>C12-D12</f>
        <v/>
      </c>
      <c r="G12" s="33" t="n"/>
      <c r="H12" s="14" t="n"/>
      <c r="I12" s="14" t="n"/>
      <c r="J12" s="30" t="n"/>
    </row>
    <row r="13">
      <c r="B13" s="29">
        <f>Instellingen!$D$10</f>
        <v/>
      </c>
      <c r="C13" s="30" t="n"/>
      <c r="D13" s="30" t="n"/>
      <c r="E13" s="24">
        <f>C13-D13</f>
        <v/>
      </c>
      <c r="G13" s="33" t="n"/>
      <c r="H13" s="14" t="n"/>
      <c r="I13" s="14" t="n"/>
      <c r="J13" s="30" t="n"/>
    </row>
    <row r="14">
      <c r="B14" s="29">
        <f>Instellingen!$D$11</f>
        <v/>
      </c>
      <c r="C14" s="30" t="n"/>
      <c r="D14" s="30" t="n"/>
      <c r="E14" s="24">
        <f>C14-D14</f>
        <v/>
      </c>
      <c r="G14" s="33" t="n"/>
      <c r="H14" s="14" t="n"/>
      <c r="I14" s="14" t="n"/>
      <c r="J14" s="30" t="n"/>
    </row>
    <row r="15">
      <c r="B15" s="29">
        <f>Instellingen!$D$12</f>
        <v/>
      </c>
      <c r="C15" s="30" t="n"/>
      <c r="D15" s="30" t="n"/>
      <c r="E15" s="24">
        <f>C15-D15</f>
        <v/>
      </c>
      <c r="G15" s="33" t="n"/>
      <c r="H15" s="14" t="n"/>
      <c r="I15" s="14" t="n"/>
      <c r="J15" s="30" t="n"/>
    </row>
    <row r="16">
      <c r="B16" s="29">
        <f>Instellingen!$D$13</f>
        <v/>
      </c>
      <c r="C16" s="30" t="n"/>
      <c r="D16" s="30" t="n"/>
      <c r="E16" s="24">
        <f>C16-D16</f>
        <v/>
      </c>
      <c r="G16" s="33" t="n"/>
      <c r="H16" s="14" t="n"/>
      <c r="I16" s="14" t="n"/>
      <c r="J16" s="30" t="n"/>
    </row>
    <row r="17">
      <c r="B17" s="29">
        <f>Instellingen!$D$14</f>
        <v/>
      </c>
      <c r="C17" s="30" t="n"/>
      <c r="D17" s="30" t="n"/>
      <c r="E17" s="24">
        <f>C17-D17</f>
        <v/>
      </c>
      <c r="G17" s="33" t="n"/>
      <c r="H17" s="14" t="n"/>
      <c r="I17" s="14" t="n"/>
      <c r="J17" s="30" t="n"/>
    </row>
    <row r="18">
      <c r="B18" s="29">
        <f>Instellingen!$D$15</f>
        <v/>
      </c>
      <c r="C18" s="30" t="n"/>
      <c r="D18" s="30" t="n"/>
      <c r="E18" s="24">
        <f>C18-D18</f>
        <v/>
      </c>
      <c r="G18" s="33" t="n"/>
      <c r="H18" s="14" t="n"/>
      <c r="I18" s="14" t="n"/>
      <c r="J18" s="30" t="n"/>
    </row>
    <row r="19">
      <c r="B19" s="29">
        <f>Instellingen!$D$16</f>
        <v/>
      </c>
      <c r="C19" s="30" t="n"/>
      <c r="D19" s="30" t="n"/>
      <c r="E19" s="24">
        <f>C19-D19</f>
        <v/>
      </c>
      <c r="G19" s="33" t="n"/>
      <c r="H19" s="14" t="n"/>
      <c r="I19" s="14" t="n"/>
      <c r="J19" s="30" t="n"/>
    </row>
    <row r="20">
      <c r="B20" s="29">
        <f>Instellingen!$D$17</f>
        <v/>
      </c>
      <c r="C20" s="30" t="n"/>
      <c r="D20" s="30" t="n"/>
      <c r="E20" s="24">
        <f>C20-D20</f>
        <v/>
      </c>
      <c r="G20" s="33" t="n"/>
      <c r="H20" s="14" t="n"/>
      <c r="I20" s="14" t="n"/>
      <c r="J20" s="30" t="n"/>
    </row>
    <row r="21">
      <c r="B21" s="29">
        <f>Instellingen!$D$18</f>
        <v/>
      </c>
      <c r="C21" s="30" t="n"/>
      <c r="D21" s="30" t="n"/>
      <c r="E21" s="24">
        <f>C21-D21</f>
        <v/>
      </c>
      <c r="G21" s="33" t="n"/>
      <c r="H21" s="14" t="n"/>
      <c r="I21" s="14" t="n"/>
      <c r="J21" s="30" t="n"/>
    </row>
    <row r="22">
      <c r="B22" s="29">
        <f>Instellingen!$D$19</f>
        <v/>
      </c>
      <c r="C22" s="30" t="n"/>
      <c r="D22" s="30" t="n"/>
      <c r="E22" s="24">
        <f>C22-D22</f>
        <v/>
      </c>
      <c r="G22" s="33" t="n"/>
      <c r="H22" s="14" t="n"/>
      <c r="I22" s="14" t="n"/>
      <c r="J22" s="30" t="n"/>
    </row>
    <row r="23">
      <c r="B23" s="29">
        <f>Instellingen!$D$20</f>
        <v/>
      </c>
      <c r="C23" s="30" t="n"/>
      <c r="D23" s="30" t="n"/>
      <c r="E23" s="24">
        <f>C23-D23</f>
        <v/>
      </c>
      <c r="G23" s="33" t="n"/>
      <c r="H23" s="14" t="n"/>
      <c r="I23" s="14" t="n"/>
      <c r="J23" s="30" t="n"/>
    </row>
    <row r="24">
      <c r="B24" s="26" t="inlineStr">
        <is>
          <t>Subtotaal</t>
        </is>
      </c>
      <c r="C24" s="27">
        <f>SUM(C12:C23)</f>
        <v/>
      </c>
      <c r="D24" s="27">
        <f>SUM(D12:D23)</f>
        <v/>
      </c>
      <c r="E24" s="27">
        <f>SUM(E12:E23)</f>
        <v/>
      </c>
      <c r="G24" s="33" t="n"/>
      <c r="H24" s="14" t="n"/>
      <c r="I24" s="14" t="n"/>
      <c r="J24" s="30" t="n"/>
    </row>
    <row r="25">
      <c r="G25" s="33" t="n"/>
      <c r="H25" s="14" t="n"/>
      <c r="I25" s="14" t="n"/>
      <c r="J25" s="30" t="n"/>
    </row>
    <row r="26">
      <c r="B26" s="17" t="inlineStr">
        <is>
          <t>C · Variabele uitgaven</t>
        </is>
      </c>
      <c r="C26" s="23" t="inlineStr">
        <is>
          <t>Begroot</t>
        </is>
      </c>
      <c r="D26" s="23" t="inlineStr">
        <is>
          <t>Werkelijk</t>
        </is>
      </c>
      <c r="E26" s="23" t="inlineStr">
        <is>
          <t>Verschil</t>
        </is>
      </c>
      <c r="G26" s="33" t="n"/>
      <c r="H26" s="14" t="n"/>
      <c r="I26" s="14" t="n"/>
      <c r="J26" s="30" t="n"/>
    </row>
    <row r="27">
      <c r="B27" s="29">
        <f>Instellingen!$F$9</f>
        <v/>
      </c>
      <c r="C27" s="30" t="n"/>
      <c r="D27" s="24">
        <f>SUMIF($I$12:$I$51,B27,$J$12:$J$51)</f>
        <v/>
      </c>
      <c r="E27" s="24">
        <f>C27-D27</f>
        <v/>
      </c>
      <c r="G27" s="33" t="n"/>
      <c r="H27" s="14" t="n"/>
      <c r="I27" s="14" t="n"/>
      <c r="J27" s="30" t="n"/>
    </row>
    <row r="28">
      <c r="B28" s="29">
        <f>Instellingen!$F$10</f>
        <v/>
      </c>
      <c r="C28" s="30" t="n"/>
      <c r="D28" s="24">
        <f>SUMIF($I$12:$I$51,B28,$J$12:$J$51)</f>
        <v/>
      </c>
      <c r="E28" s="24">
        <f>C28-D28</f>
        <v/>
      </c>
      <c r="G28" s="33" t="n"/>
      <c r="H28" s="14" t="n"/>
      <c r="I28" s="14" t="n"/>
      <c r="J28" s="30" t="n"/>
    </row>
    <row r="29">
      <c r="B29" s="29">
        <f>Instellingen!$F$11</f>
        <v/>
      </c>
      <c r="C29" s="30" t="n"/>
      <c r="D29" s="24">
        <f>SUMIF($I$12:$I$51,B29,$J$12:$J$51)</f>
        <v/>
      </c>
      <c r="E29" s="24">
        <f>C29-D29</f>
        <v/>
      </c>
      <c r="G29" s="33" t="n"/>
      <c r="H29" s="14" t="n"/>
      <c r="I29" s="14" t="n"/>
      <c r="J29" s="30" t="n"/>
    </row>
    <row r="30">
      <c r="B30" s="29">
        <f>Instellingen!$F$12</f>
        <v/>
      </c>
      <c r="C30" s="30" t="n"/>
      <c r="D30" s="24">
        <f>SUMIF($I$12:$I$51,B30,$J$12:$J$51)</f>
        <v/>
      </c>
      <c r="E30" s="24">
        <f>C30-D30</f>
        <v/>
      </c>
      <c r="G30" s="33" t="n"/>
      <c r="H30" s="14" t="n"/>
      <c r="I30" s="14" t="n"/>
      <c r="J30" s="30" t="n"/>
    </row>
    <row r="31">
      <c r="B31" s="29">
        <f>Instellingen!$F$13</f>
        <v/>
      </c>
      <c r="C31" s="30" t="n"/>
      <c r="D31" s="24">
        <f>SUMIF($I$12:$I$51,B31,$J$12:$J$51)</f>
        <v/>
      </c>
      <c r="E31" s="24">
        <f>C31-D31</f>
        <v/>
      </c>
      <c r="G31" s="33" t="n"/>
      <c r="H31" s="14" t="n"/>
      <c r="I31" s="14" t="n"/>
      <c r="J31" s="30" t="n"/>
    </row>
    <row r="32">
      <c r="B32" s="29">
        <f>Instellingen!$F$14</f>
        <v/>
      </c>
      <c r="C32" s="30" t="n"/>
      <c r="D32" s="24">
        <f>SUMIF($I$12:$I$51,B32,$J$12:$J$51)</f>
        <v/>
      </c>
      <c r="E32" s="24">
        <f>C32-D32</f>
        <v/>
      </c>
      <c r="G32" s="33" t="n"/>
      <c r="H32" s="14" t="n"/>
      <c r="I32" s="14" t="n"/>
      <c r="J32" s="30" t="n"/>
    </row>
    <row r="33">
      <c r="B33" s="29">
        <f>Instellingen!$F$15</f>
        <v/>
      </c>
      <c r="C33" s="30" t="n"/>
      <c r="D33" s="24">
        <f>SUMIF($I$12:$I$51,B33,$J$12:$J$51)</f>
        <v/>
      </c>
      <c r="E33" s="24">
        <f>C33-D33</f>
        <v/>
      </c>
      <c r="G33" s="33" t="n"/>
      <c r="H33" s="14" t="n"/>
      <c r="I33" s="14" t="n"/>
      <c r="J33" s="30" t="n"/>
    </row>
    <row r="34">
      <c r="B34" s="29">
        <f>Instellingen!$F$16</f>
        <v/>
      </c>
      <c r="C34" s="30" t="n"/>
      <c r="D34" s="24">
        <f>SUMIF($I$12:$I$51,B34,$J$12:$J$51)</f>
        <v/>
      </c>
      <c r="E34" s="24">
        <f>C34-D34</f>
        <v/>
      </c>
      <c r="G34" s="33" t="n"/>
      <c r="H34" s="14" t="n"/>
      <c r="I34" s="14" t="n"/>
      <c r="J34" s="30" t="n"/>
    </row>
    <row r="35">
      <c r="B35" s="29">
        <f>Instellingen!$F$17</f>
        <v/>
      </c>
      <c r="C35" s="30" t="n"/>
      <c r="D35" s="24">
        <f>SUMIF($I$12:$I$51,B35,$J$12:$J$51)</f>
        <v/>
      </c>
      <c r="E35" s="24">
        <f>C35-D35</f>
        <v/>
      </c>
      <c r="G35" s="33" t="n"/>
      <c r="H35" s="14" t="n"/>
      <c r="I35" s="14" t="n"/>
      <c r="J35" s="30" t="n"/>
    </row>
    <row r="36">
      <c r="B36" s="29">
        <f>Instellingen!$F$18</f>
        <v/>
      </c>
      <c r="C36" s="30" t="n"/>
      <c r="D36" s="24">
        <f>SUMIF($I$12:$I$51,B36,$J$12:$J$51)</f>
        <v/>
      </c>
      <c r="E36" s="24">
        <f>C36-D36</f>
        <v/>
      </c>
      <c r="G36" s="33" t="n"/>
      <c r="H36" s="14" t="n"/>
      <c r="I36" s="14" t="n"/>
      <c r="J36" s="30" t="n"/>
    </row>
    <row r="37">
      <c r="B37" s="29">
        <f>Instellingen!$F$19</f>
        <v/>
      </c>
      <c r="C37" s="30" t="n"/>
      <c r="D37" s="24">
        <f>SUMIF($I$12:$I$51,B37,$J$12:$J$51)</f>
        <v/>
      </c>
      <c r="E37" s="24">
        <f>C37-D37</f>
        <v/>
      </c>
      <c r="G37" s="33" t="n"/>
      <c r="H37" s="14" t="n"/>
      <c r="I37" s="14" t="n"/>
      <c r="J37" s="30" t="n"/>
    </row>
    <row r="38">
      <c r="B38" s="26" t="inlineStr">
        <is>
          <t>Subtotaal</t>
        </is>
      </c>
      <c r="C38" s="27">
        <f>SUM(C27:C37)</f>
        <v/>
      </c>
      <c r="D38" s="27">
        <f>SUM(D27:D37)</f>
        <v/>
      </c>
      <c r="E38" s="27">
        <f>SUM(E27:E37)</f>
        <v/>
      </c>
      <c r="G38" s="33" t="n"/>
      <c r="H38" s="14" t="n"/>
      <c r="I38" s="14" t="n"/>
      <c r="J38" s="30" t="n"/>
    </row>
    <row r="39">
      <c r="G39" s="33" t="n"/>
      <c r="H39" s="14" t="n"/>
      <c r="I39" s="14" t="n"/>
      <c r="J39" s="30" t="n"/>
    </row>
    <row r="40">
      <c r="B40" s="17" t="inlineStr">
        <is>
          <t>D · Sparen</t>
        </is>
      </c>
      <c r="C40" s="23" t="inlineStr">
        <is>
          <t>Begroot</t>
        </is>
      </c>
      <c r="D40" s="23" t="inlineStr">
        <is>
          <t>Werkelijk</t>
        </is>
      </c>
      <c r="E40" s="23" t="inlineStr">
        <is>
          <t>Verschil</t>
        </is>
      </c>
      <c r="G40" s="33" t="n"/>
      <c r="H40" s="14" t="n"/>
      <c r="I40" s="14" t="n"/>
      <c r="J40" s="30" t="n"/>
    </row>
    <row r="41">
      <c r="B41" s="29">
        <f>Instellingen!$H$9</f>
        <v/>
      </c>
      <c r="C41" s="30" t="n"/>
      <c r="D41" s="30" t="n"/>
      <c r="E41" s="24">
        <f>D41-C41</f>
        <v/>
      </c>
      <c r="G41" s="33" t="n"/>
      <c r="H41" s="14" t="n"/>
      <c r="I41" s="14" t="n"/>
      <c r="J41" s="30" t="n"/>
    </row>
    <row r="42">
      <c r="B42" s="29">
        <f>Instellingen!$H$10</f>
        <v/>
      </c>
      <c r="C42" s="30" t="n"/>
      <c r="D42" s="30" t="n"/>
      <c r="E42" s="24">
        <f>D42-C42</f>
        <v/>
      </c>
      <c r="G42" s="33" t="n"/>
      <c r="H42" s="14" t="n"/>
      <c r="I42" s="14" t="n"/>
      <c r="J42" s="30" t="n"/>
    </row>
    <row r="43">
      <c r="B43" s="29">
        <f>Instellingen!$H$11</f>
        <v/>
      </c>
      <c r="C43" s="30" t="n"/>
      <c r="D43" s="30" t="n"/>
      <c r="E43" s="24">
        <f>D43-C43</f>
        <v/>
      </c>
      <c r="G43" s="33" t="n"/>
      <c r="H43" s="14" t="n"/>
      <c r="I43" s="14" t="n"/>
      <c r="J43" s="30" t="n"/>
    </row>
    <row r="44">
      <c r="B44" s="29">
        <f>Instellingen!$H$12</f>
        <v/>
      </c>
      <c r="C44" s="30" t="n"/>
      <c r="D44" s="30" t="n"/>
      <c r="E44" s="24">
        <f>D44-C44</f>
        <v/>
      </c>
      <c r="G44" s="33" t="n"/>
      <c r="H44" s="14" t="n"/>
      <c r="I44" s="14" t="n"/>
      <c r="J44" s="30" t="n"/>
    </row>
    <row r="45">
      <c r="B45" s="26" t="inlineStr">
        <is>
          <t>Subtotaal</t>
        </is>
      </c>
      <c r="C45" s="27">
        <f>SUM(C41:C44)</f>
        <v/>
      </c>
      <c r="D45" s="27">
        <f>SUM(D41:D44)</f>
        <v/>
      </c>
      <c r="E45" s="27">
        <f>SUM(E41:E44)</f>
        <v/>
      </c>
      <c r="G45" s="33" t="n"/>
      <c r="H45" s="14" t="n"/>
      <c r="I45" s="14" t="n"/>
      <c r="J45" s="30" t="n"/>
    </row>
    <row r="46">
      <c r="B46" s="12" t="inlineStr">
        <is>
          <t>Werkelijk bij variabele uitgaven wordt automatisch gevuld vanuit het Uitgavenlogboek.</t>
        </is>
      </c>
      <c r="G46" s="33" t="n"/>
      <c r="H46" s="14" t="n"/>
      <c r="I46" s="14" t="n"/>
      <c r="J46" s="30" t="n"/>
    </row>
    <row r="47">
      <c r="G47" s="33" t="n"/>
      <c r="H47" s="14" t="n"/>
      <c r="I47" s="14" t="n"/>
      <c r="J47" s="30" t="n"/>
    </row>
    <row r="48">
      <c r="G48" s="33" t="n"/>
      <c r="H48" s="14" t="n"/>
      <c r="I48" s="14" t="n"/>
      <c r="J48" s="30" t="n"/>
    </row>
    <row r="49">
      <c r="G49" s="33" t="n"/>
      <c r="H49" s="14" t="n"/>
      <c r="I49" s="14" t="n"/>
      <c r="J49" s="30" t="n"/>
    </row>
    <row r="50">
      <c r="G50" s="33" t="n"/>
      <c r="H50" s="14" t="n"/>
      <c r="I50" s="14" t="n"/>
      <c r="J50" s="30" t="n"/>
    </row>
    <row r="51">
      <c r="G51" s="33" t="n"/>
      <c r="H51" s="14" t="n"/>
      <c r="I51" s="14" t="n"/>
      <c r="J51" s="30" t="n"/>
    </row>
    <row r="52">
      <c r="G52" s="26" t="inlineStr">
        <is>
          <t>Totaal logboek</t>
        </is>
      </c>
      <c r="H52" s="34" t="n"/>
      <c r="I52" s="20" t="n"/>
      <c r="J52" s="27">
        <f>SUM(J12:J51)</f>
        <v/>
      </c>
    </row>
  </sheetData>
  <mergeCells count="6">
    <mergeCell ref="G4:H4"/>
    <mergeCell ref="G7:H7"/>
    <mergeCell ref="G5:H5"/>
    <mergeCell ref="G6:H6"/>
    <mergeCell ref="G8:H8"/>
    <mergeCell ref="G52:I52"/>
  </mergeCells>
  <conditionalFormatting sqref="E5:E9">
    <cfRule type="cellIs" priority="1" operator="lessThan" dxfId="0">
      <formula>0</formula>
    </cfRule>
  </conditionalFormatting>
  <conditionalFormatting sqref="E12:E24">
    <cfRule type="cellIs" priority="2" operator="lessThan" dxfId="0">
      <formula>0</formula>
    </cfRule>
  </conditionalFormatting>
  <conditionalFormatting sqref="E27:E38">
    <cfRule type="cellIs" priority="3" operator="lessThan" dxfId="0">
      <formula>0</formula>
    </cfRule>
  </conditionalFormatting>
  <conditionalFormatting sqref="E41:E45">
    <cfRule type="cellIs" priority="4" operator="lessThan" dxfId="0">
      <formula>0</formula>
    </cfRule>
  </conditionalFormatting>
  <conditionalFormatting sqref="I8:J8">
    <cfRule type="cellIs" priority="5" operator="lessThan" dxfId="0">
      <formula>0</formula>
    </cfRule>
  </conditionalFormatting>
  <dataValidations count="1">
    <dataValidation sqref="I12:I51" showDropDown="0" showInputMessage="0" showErrorMessage="1" allowBlank="1" errorTitle="Onbekende categorie" error="Kies een categorie uit de lijst (aanpassen kan op het tabblad Instellingen)." type="list">
      <formula1>=Instellingen!$F$9:$F$19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F7A61"/>
    <outlinePr summaryBelow="1" summaryRight="1"/>
    <pageSetUpPr/>
  </sheetPr>
  <dimension ref="B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3" customWidth="1" min="6" max="6"/>
    <col width="14" customWidth="1" min="7" max="7"/>
    <col width="32" customWidth="1" min="8" max="8"/>
    <col width="26" customWidth="1" min="9" max="9"/>
    <col width="14" customWidth="1" min="10" max="10"/>
  </cols>
  <sheetData>
    <row r="1">
      <c r="B1" s="1" t="inlineStr">
        <is>
          <t>Plannerij</t>
        </is>
      </c>
    </row>
    <row r="2" ht="30" customHeight="1">
      <c r="B2" s="2" t="inlineStr">
        <is>
          <t>Maart</t>
        </is>
      </c>
    </row>
    <row r="3">
      <c r="B3" s="3">
        <f>IF(Instellingen!$C$5="","",Instellingen!$C$5)</f>
        <v/>
      </c>
    </row>
    <row r="4">
      <c r="B4" s="17" t="inlineStr">
        <is>
          <t>A · Inkomen</t>
        </is>
      </c>
      <c r="C4" s="23" t="inlineStr">
        <is>
          <t>Begroot</t>
        </is>
      </c>
      <c r="D4" s="23" t="inlineStr">
        <is>
          <t>Werkelijk</t>
        </is>
      </c>
      <c r="E4" s="23" t="inlineStr">
        <is>
          <t>Verschil</t>
        </is>
      </c>
      <c r="G4" s="17" t="inlineStr">
        <is>
          <t>Samenvatting</t>
        </is>
      </c>
      <c r="H4" s="20" t="n"/>
      <c r="I4" s="23" t="inlineStr">
        <is>
          <t>Begroot</t>
        </is>
      </c>
      <c r="J4" s="23" t="inlineStr">
        <is>
          <t>Werkelijk</t>
        </is>
      </c>
    </row>
    <row r="5">
      <c r="B5" s="29">
        <f>Instellingen!$B$9</f>
        <v/>
      </c>
      <c r="C5" s="30" t="n"/>
      <c r="D5" s="30" t="n"/>
      <c r="E5" s="24">
        <f>D5-C5</f>
        <v/>
      </c>
      <c r="G5" s="31" t="inlineStr">
        <is>
          <t>Totaal inkomen</t>
        </is>
      </c>
      <c r="H5" s="20" t="n"/>
      <c r="I5" s="32">
        <f>C9</f>
        <v/>
      </c>
      <c r="J5" s="32">
        <f>D9</f>
        <v/>
      </c>
    </row>
    <row r="6">
      <c r="B6" s="29">
        <f>Instellingen!$B$10</f>
        <v/>
      </c>
      <c r="C6" s="30" t="n"/>
      <c r="D6" s="30" t="n"/>
      <c r="E6" s="24">
        <f>D6-C6</f>
        <v/>
      </c>
      <c r="G6" s="31" t="inlineStr">
        <is>
          <t>Totaal uitgaven</t>
        </is>
      </c>
      <c r="H6" s="20" t="n"/>
      <c r="I6" s="32">
        <f>C24+C38</f>
        <v/>
      </c>
      <c r="J6" s="32">
        <f>D24+D38</f>
        <v/>
      </c>
    </row>
    <row r="7">
      <c r="B7" s="29">
        <f>Instellingen!$B$11</f>
        <v/>
      </c>
      <c r="C7" s="30" t="n"/>
      <c r="D7" s="30" t="n"/>
      <c r="E7" s="24">
        <f>D7-C7</f>
        <v/>
      </c>
      <c r="G7" s="31" t="inlineStr">
        <is>
          <t>Gespaard</t>
        </is>
      </c>
      <c r="H7" s="20" t="n"/>
      <c r="I7" s="32">
        <f>C45</f>
        <v/>
      </c>
      <c r="J7" s="32">
        <f>D45</f>
        <v/>
      </c>
    </row>
    <row r="8">
      <c r="B8" s="29">
        <f>Instellingen!$B$12</f>
        <v/>
      </c>
      <c r="C8" s="30" t="n"/>
      <c r="D8" s="30" t="n"/>
      <c r="E8" s="24">
        <f>D8-C8</f>
        <v/>
      </c>
      <c r="G8" s="26" t="inlineStr">
        <is>
          <t>Over / tekort</t>
        </is>
      </c>
      <c r="H8" s="20" t="n"/>
      <c r="I8" s="27">
        <f>I5-I6-I7</f>
        <v/>
      </c>
      <c r="J8" s="27">
        <f>J5-J6-J7</f>
        <v/>
      </c>
    </row>
    <row r="9">
      <c r="B9" s="26" t="inlineStr">
        <is>
          <t>Subtotaal</t>
        </is>
      </c>
      <c r="C9" s="27">
        <f>SUM(C5:C8)</f>
        <v/>
      </c>
      <c r="D9" s="27">
        <f>SUM(D5:D8)</f>
        <v/>
      </c>
      <c r="E9" s="27">
        <f>SUM(E5:E8)</f>
        <v/>
      </c>
    </row>
    <row r="10">
      <c r="G10" s="4" t="inlineStr">
        <is>
          <t>Uitgavenlogboek</t>
        </is>
      </c>
      <c r="I10" s="12" t="inlineStr">
        <is>
          <t>Kies een categorie uit de lijst; het bedrag telt automatisch op bij Variabele uitgaven.</t>
        </is>
      </c>
    </row>
    <row r="11">
      <c r="B11" s="17" t="inlineStr">
        <is>
          <t>B · Vaste lasten</t>
        </is>
      </c>
      <c r="C11" s="23" t="inlineStr">
        <is>
          <t>Begroot</t>
        </is>
      </c>
      <c r="D11" s="23" t="inlineStr">
        <is>
          <t>Werkelijk</t>
        </is>
      </c>
      <c r="E11" s="23" t="inlineStr">
        <is>
          <t>Verschil</t>
        </is>
      </c>
      <c r="G11" s="17" t="inlineStr">
        <is>
          <t>Datum</t>
        </is>
      </c>
      <c r="H11" s="23" t="inlineStr">
        <is>
          <t>Omschrijving</t>
        </is>
      </c>
      <c r="I11" s="23" t="inlineStr">
        <is>
          <t>Categorie</t>
        </is>
      </c>
      <c r="J11" s="23" t="inlineStr">
        <is>
          <t>Bedrag</t>
        </is>
      </c>
    </row>
    <row r="12">
      <c r="B12" s="29">
        <f>Instellingen!$D$9</f>
        <v/>
      </c>
      <c r="C12" s="30" t="n"/>
      <c r="D12" s="30" t="n"/>
      <c r="E12" s="24">
        <f>C12-D12</f>
        <v/>
      </c>
      <c r="G12" s="33" t="n"/>
      <c r="H12" s="14" t="n"/>
      <c r="I12" s="14" t="n"/>
      <c r="J12" s="30" t="n"/>
    </row>
    <row r="13">
      <c r="B13" s="29">
        <f>Instellingen!$D$10</f>
        <v/>
      </c>
      <c r="C13" s="30" t="n"/>
      <c r="D13" s="30" t="n"/>
      <c r="E13" s="24">
        <f>C13-D13</f>
        <v/>
      </c>
      <c r="G13" s="33" t="n"/>
      <c r="H13" s="14" t="n"/>
      <c r="I13" s="14" t="n"/>
      <c r="J13" s="30" t="n"/>
    </row>
    <row r="14">
      <c r="B14" s="29">
        <f>Instellingen!$D$11</f>
        <v/>
      </c>
      <c r="C14" s="30" t="n"/>
      <c r="D14" s="30" t="n"/>
      <c r="E14" s="24">
        <f>C14-D14</f>
        <v/>
      </c>
      <c r="G14" s="33" t="n"/>
      <c r="H14" s="14" t="n"/>
      <c r="I14" s="14" t="n"/>
      <c r="J14" s="30" t="n"/>
    </row>
    <row r="15">
      <c r="B15" s="29">
        <f>Instellingen!$D$12</f>
        <v/>
      </c>
      <c r="C15" s="30" t="n"/>
      <c r="D15" s="30" t="n"/>
      <c r="E15" s="24">
        <f>C15-D15</f>
        <v/>
      </c>
      <c r="G15" s="33" t="n"/>
      <c r="H15" s="14" t="n"/>
      <c r="I15" s="14" t="n"/>
      <c r="J15" s="30" t="n"/>
    </row>
    <row r="16">
      <c r="B16" s="29">
        <f>Instellingen!$D$13</f>
        <v/>
      </c>
      <c r="C16" s="30" t="n"/>
      <c r="D16" s="30" t="n"/>
      <c r="E16" s="24">
        <f>C16-D16</f>
        <v/>
      </c>
      <c r="G16" s="33" t="n"/>
      <c r="H16" s="14" t="n"/>
      <c r="I16" s="14" t="n"/>
      <c r="J16" s="30" t="n"/>
    </row>
    <row r="17">
      <c r="B17" s="29">
        <f>Instellingen!$D$14</f>
        <v/>
      </c>
      <c r="C17" s="30" t="n"/>
      <c r="D17" s="30" t="n"/>
      <c r="E17" s="24">
        <f>C17-D17</f>
        <v/>
      </c>
      <c r="G17" s="33" t="n"/>
      <c r="H17" s="14" t="n"/>
      <c r="I17" s="14" t="n"/>
      <c r="J17" s="30" t="n"/>
    </row>
    <row r="18">
      <c r="B18" s="29">
        <f>Instellingen!$D$15</f>
        <v/>
      </c>
      <c r="C18" s="30" t="n"/>
      <c r="D18" s="30" t="n"/>
      <c r="E18" s="24">
        <f>C18-D18</f>
        <v/>
      </c>
      <c r="G18" s="33" t="n"/>
      <c r="H18" s="14" t="n"/>
      <c r="I18" s="14" t="n"/>
      <c r="J18" s="30" t="n"/>
    </row>
    <row r="19">
      <c r="B19" s="29">
        <f>Instellingen!$D$16</f>
        <v/>
      </c>
      <c r="C19" s="30" t="n"/>
      <c r="D19" s="30" t="n"/>
      <c r="E19" s="24">
        <f>C19-D19</f>
        <v/>
      </c>
      <c r="G19" s="33" t="n"/>
      <c r="H19" s="14" t="n"/>
      <c r="I19" s="14" t="n"/>
      <c r="J19" s="30" t="n"/>
    </row>
    <row r="20">
      <c r="B20" s="29">
        <f>Instellingen!$D$17</f>
        <v/>
      </c>
      <c r="C20" s="30" t="n"/>
      <c r="D20" s="30" t="n"/>
      <c r="E20" s="24">
        <f>C20-D20</f>
        <v/>
      </c>
      <c r="G20" s="33" t="n"/>
      <c r="H20" s="14" t="n"/>
      <c r="I20" s="14" t="n"/>
      <c r="J20" s="30" t="n"/>
    </row>
    <row r="21">
      <c r="B21" s="29">
        <f>Instellingen!$D$18</f>
        <v/>
      </c>
      <c r="C21" s="30" t="n"/>
      <c r="D21" s="30" t="n"/>
      <c r="E21" s="24">
        <f>C21-D21</f>
        <v/>
      </c>
      <c r="G21" s="33" t="n"/>
      <c r="H21" s="14" t="n"/>
      <c r="I21" s="14" t="n"/>
      <c r="J21" s="30" t="n"/>
    </row>
    <row r="22">
      <c r="B22" s="29">
        <f>Instellingen!$D$19</f>
        <v/>
      </c>
      <c r="C22" s="30" t="n"/>
      <c r="D22" s="30" t="n"/>
      <c r="E22" s="24">
        <f>C22-D22</f>
        <v/>
      </c>
      <c r="G22" s="33" t="n"/>
      <c r="H22" s="14" t="n"/>
      <c r="I22" s="14" t="n"/>
      <c r="J22" s="30" t="n"/>
    </row>
    <row r="23">
      <c r="B23" s="29">
        <f>Instellingen!$D$20</f>
        <v/>
      </c>
      <c r="C23" s="30" t="n"/>
      <c r="D23" s="30" t="n"/>
      <c r="E23" s="24">
        <f>C23-D23</f>
        <v/>
      </c>
      <c r="G23" s="33" t="n"/>
      <c r="H23" s="14" t="n"/>
      <c r="I23" s="14" t="n"/>
      <c r="J23" s="30" t="n"/>
    </row>
    <row r="24">
      <c r="B24" s="26" t="inlineStr">
        <is>
          <t>Subtotaal</t>
        </is>
      </c>
      <c r="C24" s="27">
        <f>SUM(C12:C23)</f>
        <v/>
      </c>
      <c r="D24" s="27">
        <f>SUM(D12:D23)</f>
        <v/>
      </c>
      <c r="E24" s="27">
        <f>SUM(E12:E23)</f>
        <v/>
      </c>
      <c r="G24" s="33" t="n"/>
      <c r="H24" s="14" t="n"/>
      <c r="I24" s="14" t="n"/>
      <c r="J24" s="30" t="n"/>
    </row>
    <row r="25">
      <c r="G25" s="33" t="n"/>
      <c r="H25" s="14" t="n"/>
      <c r="I25" s="14" t="n"/>
      <c r="J25" s="30" t="n"/>
    </row>
    <row r="26">
      <c r="B26" s="17" t="inlineStr">
        <is>
          <t>C · Variabele uitgaven</t>
        </is>
      </c>
      <c r="C26" s="23" t="inlineStr">
        <is>
          <t>Begroot</t>
        </is>
      </c>
      <c r="D26" s="23" t="inlineStr">
        <is>
          <t>Werkelijk</t>
        </is>
      </c>
      <c r="E26" s="23" t="inlineStr">
        <is>
          <t>Verschil</t>
        </is>
      </c>
      <c r="G26" s="33" t="n"/>
      <c r="H26" s="14" t="n"/>
      <c r="I26" s="14" t="n"/>
      <c r="J26" s="30" t="n"/>
    </row>
    <row r="27">
      <c r="B27" s="29">
        <f>Instellingen!$F$9</f>
        <v/>
      </c>
      <c r="C27" s="30" t="n"/>
      <c r="D27" s="24">
        <f>SUMIF($I$12:$I$51,B27,$J$12:$J$51)</f>
        <v/>
      </c>
      <c r="E27" s="24">
        <f>C27-D27</f>
        <v/>
      </c>
      <c r="G27" s="33" t="n"/>
      <c r="H27" s="14" t="n"/>
      <c r="I27" s="14" t="n"/>
      <c r="J27" s="30" t="n"/>
    </row>
    <row r="28">
      <c r="B28" s="29">
        <f>Instellingen!$F$10</f>
        <v/>
      </c>
      <c r="C28" s="30" t="n"/>
      <c r="D28" s="24">
        <f>SUMIF($I$12:$I$51,B28,$J$12:$J$51)</f>
        <v/>
      </c>
      <c r="E28" s="24">
        <f>C28-D28</f>
        <v/>
      </c>
      <c r="G28" s="33" t="n"/>
      <c r="H28" s="14" t="n"/>
      <c r="I28" s="14" t="n"/>
      <c r="J28" s="30" t="n"/>
    </row>
    <row r="29">
      <c r="B29" s="29">
        <f>Instellingen!$F$11</f>
        <v/>
      </c>
      <c r="C29" s="30" t="n"/>
      <c r="D29" s="24">
        <f>SUMIF($I$12:$I$51,B29,$J$12:$J$51)</f>
        <v/>
      </c>
      <c r="E29" s="24">
        <f>C29-D29</f>
        <v/>
      </c>
      <c r="G29" s="33" t="n"/>
      <c r="H29" s="14" t="n"/>
      <c r="I29" s="14" t="n"/>
      <c r="J29" s="30" t="n"/>
    </row>
    <row r="30">
      <c r="B30" s="29">
        <f>Instellingen!$F$12</f>
        <v/>
      </c>
      <c r="C30" s="30" t="n"/>
      <c r="D30" s="24">
        <f>SUMIF($I$12:$I$51,B30,$J$12:$J$51)</f>
        <v/>
      </c>
      <c r="E30" s="24">
        <f>C30-D30</f>
        <v/>
      </c>
      <c r="G30" s="33" t="n"/>
      <c r="H30" s="14" t="n"/>
      <c r="I30" s="14" t="n"/>
      <c r="J30" s="30" t="n"/>
    </row>
    <row r="31">
      <c r="B31" s="29">
        <f>Instellingen!$F$13</f>
        <v/>
      </c>
      <c r="C31" s="30" t="n"/>
      <c r="D31" s="24">
        <f>SUMIF($I$12:$I$51,B31,$J$12:$J$51)</f>
        <v/>
      </c>
      <c r="E31" s="24">
        <f>C31-D31</f>
        <v/>
      </c>
      <c r="G31" s="33" t="n"/>
      <c r="H31" s="14" t="n"/>
      <c r="I31" s="14" t="n"/>
      <c r="J31" s="30" t="n"/>
    </row>
    <row r="32">
      <c r="B32" s="29">
        <f>Instellingen!$F$14</f>
        <v/>
      </c>
      <c r="C32" s="30" t="n"/>
      <c r="D32" s="24">
        <f>SUMIF($I$12:$I$51,B32,$J$12:$J$51)</f>
        <v/>
      </c>
      <c r="E32" s="24">
        <f>C32-D32</f>
        <v/>
      </c>
      <c r="G32" s="33" t="n"/>
      <c r="H32" s="14" t="n"/>
      <c r="I32" s="14" t="n"/>
      <c r="J32" s="30" t="n"/>
    </row>
    <row r="33">
      <c r="B33" s="29">
        <f>Instellingen!$F$15</f>
        <v/>
      </c>
      <c r="C33" s="30" t="n"/>
      <c r="D33" s="24">
        <f>SUMIF($I$12:$I$51,B33,$J$12:$J$51)</f>
        <v/>
      </c>
      <c r="E33" s="24">
        <f>C33-D33</f>
        <v/>
      </c>
      <c r="G33" s="33" t="n"/>
      <c r="H33" s="14" t="n"/>
      <c r="I33" s="14" t="n"/>
      <c r="J33" s="30" t="n"/>
    </row>
    <row r="34">
      <c r="B34" s="29">
        <f>Instellingen!$F$16</f>
        <v/>
      </c>
      <c r="C34" s="30" t="n"/>
      <c r="D34" s="24">
        <f>SUMIF($I$12:$I$51,B34,$J$12:$J$51)</f>
        <v/>
      </c>
      <c r="E34" s="24">
        <f>C34-D34</f>
        <v/>
      </c>
      <c r="G34" s="33" t="n"/>
      <c r="H34" s="14" t="n"/>
      <c r="I34" s="14" t="n"/>
      <c r="J34" s="30" t="n"/>
    </row>
    <row r="35">
      <c r="B35" s="29">
        <f>Instellingen!$F$17</f>
        <v/>
      </c>
      <c r="C35" s="30" t="n"/>
      <c r="D35" s="24">
        <f>SUMIF($I$12:$I$51,B35,$J$12:$J$51)</f>
        <v/>
      </c>
      <c r="E35" s="24">
        <f>C35-D35</f>
        <v/>
      </c>
      <c r="G35" s="33" t="n"/>
      <c r="H35" s="14" t="n"/>
      <c r="I35" s="14" t="n"/>
      <c r="J35" s="30" t="n"/>
    </row>
    <row r="36">
      <c r="B36" s="29">
        <f>Instellingen!$F$18</f>
        <v/>
      </c>
      <c r="C36" s="30" t="n"/>
      <c r="D36" s="24">
        <f>SUMIF($I$12:$I$51,B36,$J$12:$J$51)</f>
        <v/>
      </c>
      <c r="E36" s="24">
        <f>C36-D36</f>
        <v/>
      </c>
      <c r="G36" s="33" t="n"/>
      <c r="H36" s="14" t="n"/>
      <c r="I36" s="14" t="n"/>
      <c r="J36" s="30" t="n"/>
    </row>
    <row r="37">
      <c r="B37" s="29">
        <f>Instellingen!$F$19</f>
        <v/>
      </c>
      <c r="C37" s="30" t="n"/>
      <c r="D37" s="24">
        <f>SUMIF($I$12:$I$51,B37,$J$12:$J$51)</f>
        <v/>
      </c>
      <c r="E37" s="24">
        <f>C37-D37</f>
        <v/>
      </c>
      <c r="G37" s="33" t="n"/>
      <c r="H37" s="14" t="n"/>
      <c r="I37" s="14" t="n"/>
      <c r="J37" s="30" t="n"/>
    </row>
    <row r="38">
      <c r="B38" s="26" t="inlineStr">
        <is>
          <t>Subtotaal</t>
        </is>
      </c>
      <c r="C38" s="27">
        <f>SUM(C27:C37)</f>
        <v/>
      </c>
      <c r="D38" s="27">
        <f>SUM(D27:D37)</f>
        <v/>
      </c>
      <c r="E38" s="27">
        <f>SUM(E27:E37)</f>
        <v/>
      </c>
      <c r="G38" s="33" t="n"/>
      <c r="H38" s="14" t="n"/>
      <c r="I38" s="14" t="n"/>
      <c r="J38" s="30" t="n"/>
    </row>
    <row r="39">
      <c r="G39" s="33" t="n"/>
      <c r="H39" s="14" t="n"/>
      <c r="I39" s="14" t="n"/>
      <c r="J39" s="30" t="n"/>
    </row>
    <row r="40">
      <c r="B40" s="17" t="inlineStr">
        <is>
          <t>D · Sparen</t>
        </is>
      </c>
      <c r="C40" s="23" t="inlineStr">
        <is>
          <t>Begroot</t>
        </is>
      </c>
      <c r="D40" s="23" t="inlineStr">
        <is>
          <t>Werkelijk</t>
        </is>
      </c>
      <c r="E40" s="23" t="inlineStr">
        <is>
          <t>Verschil</t>
        </is>
      </c>
      <c r="G40" s="33" t="n"/>
      <c r="H40" s="14" t="n"/>
      <c r="I40" s="14" t="n"/>
      <c r="J40" s="30" t="n"/>
    </row>
    <row r="41">
      <c r="B41" s="29">
        <f>Instellingen!$H$9</f>
        <v/>
      </c>
      <c r="C41" s="30" t="n"/>
      <c r="D41" s="30" t="n"/>
      <c r="E41" s="24">
        <f>D41-C41</f>
        <v/>
      </c>
      <c r="G41" s="33" t="n"/>
      <c r="H41" s="14" t="n"/>
      <c r="I41" s="14" t="n"/>
      <c r="J41" s="30" t="n"/>
    </row>
    <row r="42">
      <c r="B42" s="29">
        <f>Instellingen!$H$10</f>
        <v/>
      </c>
      <c r="C42" s="30" t="n"/>
      <c r="D42" s="30" t="n"/>
      <c r="E42" s="24">
        <f>D42-C42</f>
        <v/>
      </c>
      <c r="G42" s="33" t="n"/>
      <c r="H42" s="14" t="n"/>
      <c r="I42" s="14" t="n"/>
      <c r="J42" s="30" t="n"/>
    </row>
    <row r="43">
      <c r="B43" s="29">
        <f>Instellingen!$H$11</f>
        <v/>
      </c>
      <c r="C43" s="30" t="n"/>
      <c r="D43" s="30" t="n"/>
      <c r="E43" s="24">
        <f>D43-C43</f>
        <v/>
      </c>
      <c r="G43" s="33" t="n"/>
      <c r="H43" s="14" t="n"/>
      <c r="I43" s="14" t="n"/>
      <c r="J43" s="30" t="n"/>
    </row>
    <row r="44">
      <c r="B44" s="29">
        <f>Instellingen!$H$12</f>
        <v/>
      </c>
      <c r="C44" s="30" t="n"/>
      <c r="D44" s="30" t="n"/>
      <c r="E44" s="24">
        <f>D44-C44</f>
        <v/>
      </c>
      <c r="G44" s="33" t="n"/>
      <c r="H44" s="14" t="n"/>
      <c r="I44" s="14" t="n"/>
      <c r="J44" s="30" t="n"/>
    </row>
    <row r="45">
      <c r="B45" s="26" t="inlineStr">
        <is>
          <t>Subtotaal</t>
        </is>
      </c>
      <c r="C45" s="27">
        <f>SUM(C41:C44)</f>
        <v/>
      </c>
      <c r="D45" s="27">
        <f>SUM(D41:D44)</f>
        <v/>
      </c>
      <c r="E45" s="27">
        <f>SUM(E41:E44)</f>
        <v/>
      </c>
      <c r="G45" s="33" t="n"/>
      <c r="H45" s="14" t="n"/>
      <c r="I45" s="14" t="n"/>
      <c r="J45" s="30" t="n"/>
    </row>
    <row r="46">
      <c r="B46" s="12" t="inlineStr">
        <is>
          <t>Werkelijk bij variabele uitgaven wordt automatisch gevuld vanuit het Uitgavenlogboek.</t>
        </is>
      </c>
      <c r="G46" s="33" t="n"/>
      <c r="H46" s="14" t="n"/>
      <c r="I46" s="14" t="n"/>
      <c r="J46" s="30" t="n"/>
    </row>
    <row r="47">
      <c r="G47" s="33" t="n"/>
      <c r="H47" s="14" t="n"/>
      <c r="I47" s="14" t="n"/>
      <c r="J47" s="30" t="n"/>
    </row>
    <row r="48">
      <c r="G48" s="33" t="n"/>
      <c r="H48" s="14" t="n"/>
      <c r="I48" s="14" t="n"/>
      <c r="J48" s="30" t="n"/>
    </row>
    <row r="49">
      <c r="G49" s="33" t="n"/>
      <c r="H49" s="14" t="n"/>
      <c r="I49" s="14" t="n"/>
      <c r="J49" s="30" t="n"/>
    </row>
    <row r="50">
      <c r="G50" s="33" t="n"/>
      <c r="H50" s="14" t="n"/>
      <c r="I50" s="14" t="n"/>
      <c r="J50" s="30" t="n"/>
    </row>
    <row r="51">
      <c r="G51" s="33" t="n"/>
      <c r="H51" s="14" t="n"/>
      <c r="I51" s="14" t="n"/>
      <c r="J51" s="30" t="n"/>
    </row>
    <row r="52">
      <c r="G52" s="26" t="inlineStr">
        <is>
          <t>Totaal logboek</t>
        </is>
      </c>
      <c r="H52" s="34" t="n"/>
      <c r="I52" s="20" t="n"/>
      <c r="J52" s="27">
        <f>SUM(J12:J51)</f>
        <v/>
      </c>
    </row>
  </sheetData>
  <mergeCells count="6">
    <mergeCell ref="G4:H4"/>
    <mergeCell ref="G7:H7"/>
    <mergeCell ref="G5:H5"/>
    <mergeCell ref="G6:H6"/>
    <mergeCell ref="G8:H8"/>
    <mergeCell ref="G52:I52"/>
  </mergeCells>
  <conditionalFormatting sqref="E5:E9">
    <cfRule type="cellIs" priority="1" operator="lessThan" dxfId="0">
      <formula>0</formula>
    </cfRule>
  </conditionalFormatting>
  <conditionalFormatting sqref="E12:E24">
    <cfRule type="cellIs" priority="2" operator="lessThan" dxfId="0">
      <formula>0</formula>
    </cfRule>
  </conditionalFormatting>
  <conditionalFormatting sqref="E27:E38">
    <cfRule type="cellIs" priority="3" operator="lessThan" dxfId="0">
      <formula>0</formula>
    </cfRule>
  </conditionalFormatting>
  <conditionalFormatting sqref="E41:E45">
    <cfRule type="cellIs" priority="4" operator="lessThan" dxfId="0">
      <formula>0</formula>
    </cfRule>
  </conditionalFormatting>
  <conditionalFormatting sqref="I8:J8">
    <cfRule type="cellIs" priority="5" operator="lessThan" dxfId="0">
      <formula>0</formula>
    </cfRule>
  </conditionalFormatting>
  <dataValidations count="1">
    <dataValidation sqref="I12:I51" showDropDown="0" showInputMessage="0" showErrorMessage="1" allowBlank="1" errorTitle="Onbekende categorie" error="Kies een categorie uit de lijst (aanpassen kan op het tabblad Instellingen)." type="list">
      <formula1>=Instellingen!$F$9:$F$19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F7A61"/>
    <outlinePr summaryBelow="1" summaryRight="1"/>
    <pageSetUpPr/>
  </sheetPr>
  <dimension ref="B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3" customWidth="1" min="6" max="6"/>
    <col width="14" customWidth="1" min="7" max="7"/>
    <col width="32" customWidth="1" min="8" max="8"/>
    <col width="26" customWidth="1" min="9" max="9"/>
    <col width="14" customWidth="1" min="10" max="10"/>
  </cols>
  <sheetData>
    <row r="1">
      <c r="B1" s="1" t="inlineStr">
        <is>
          <t>Plannerij</t>
        </is>
      </c>
    </row>
    <row r="2" ht="30" customHeight="1">
      <c r="B2" s="2" t="inlineStr">
        <is>
          <t>April</t>
        </is>
      </c>
    </row>
    <row r="3">
      <c r="B3" s="3">
        <f>IF(Instellingen!$C$5="","",Instellingen!$C$5)</f>
        <v/>
      </c>
    </row>
    <row r="4">
      <c r="B4" s="17" t="inlineStr">
        <is>
          <t>A · Inkomen</t>
        </is>
      </c>
      <c r="C4" s="23" t="inlineStr">
        <is>
          <t>Begroot</t>
        </is>
      </c>
      <c r="D4" s="23" t="inlineStr">
        <is>
          <t>Werkelijk</t>
        </is>
      </c>
      <c r="E4" s="23" t="inlineStr">
        <is>
          <t>Verschil</t>
        </is>
      </c>
      <c r="G4" s="17" t="inlineStr">
        <is>
          <t>Samenvatting</t>
        </is>
      </c>
      <c r="H4" s="20" t="n"/>
      <c r="I4" s="23" t="inlineStr">
        <is>
          <t>Begroot</t>
        </is>
      </c>
      <c r="J4" s="23" t="inlineStr">
        <is>
          <t>Werkelijk</t>
        </is>
      </c>
    </row>
    <row r="5">
      <c r="B5" s="29">
        <f>Instellingen!$B$9</f>
        <v/>
      </c>
      <c r="C5" s="30" t="n"/>
      <c r="D5" s="30" t="n"/>
      <c r="E5" s="24">
        <f>D5-C5</f>
        <v/>
      </c>
      <c r="G5" s="31" t="inlineStr">
        <is>
          <t>Totaal inkomen</t>
        </is>
      </c>
      <c r="H5" s="20" t="n"/>
      <c r="I5" s="32">
        <f>C9</f>
        <v/>
      </c>
      <c r="J5" s="32">
        <f>D9</f>
        <v/>
      </c>
    </row>
    <row r="6">
      <c r="B6" s="29">
        <f>Instellingen!$B$10</f>
        <v/>
      </c>
      <c r="C6" s="30" t="n"/>
      <c r="D6" s="30" t="n"/>
      <c r="E6" s="24">
        <f>D6-C6</f>
        <v/>
      </c>
      <c r="G6" s="31" t="inlineStr">
        <is>
          <t>Totaal uitgaven</t>
        </is>
      </c>
      <c r="H6" s="20" t="n"/>
      <c r="I6" s="32">
        <f>C24+C38</f>
        <v/>
      </c>
      <c r="J6" s="32">
        <f>D24+D38</f>
        <v/>
      </c>
    </row>
    <row r="7">
      <c r="B7" s="29">
        <f>Instellingen!$B$11</f>
        <v/>
      </c>
      <c r="C7" s="30" t="n"/>
      <c r="D7" s="30" t="n"/>
      <c r="E7" s="24">
        <f>D7-C7</f>
        <v/>
      </c>
      <c r="G7" s="31" t="inlineStr">
        <is>
          <t>Gespaard</t>
        </is>
      </c>
      <c r="H7" s="20" t="n"/>
      <c r="I7" s="32">
        <f>C45</f>
        <v/>
      </c>
      <c r="J7" s="32">
        <f>D45</f>
        <v/>
      </c>
    </row>
    <row r="8">
      <c r="B8" s="29">
        <f>Instellingen!$B$12</f>
        <v/>
      </c>
      <c r="C8" s="30" t="n"/>
      <c r="D8" s="30" t="n"/>
      <c r="E8" s="24">
        <f>D8-C8</f>
        <v/>
      </c>
      <c r="G8" s="26" t="inlineStr">
        <is>
          <t>Over / tekort</t>
        </is>
      </c>
      <c r="H8" s="20" t="n"/>
      <c r="I8" s="27">
        <f>I5-I6-I7</f>
        <v/>
      </c>
      <c r="J8" s="27">
        <f>J5-J6-J7</f>
        <v/>
      </c>
    </row>
    <row r="9">
      <c r="B9" s="26" t="inlineStr">
        <is>
          <t>Subtotaal</t>
        </is>
      </c>
      <c r="C9" s="27">
        <f>SUM(C5:C8)</f>
        <v/>
      </c>
      <c r="D9" s="27">
        <f>SUM(D5:D8)</f>
        <v/>
      </c>
      <c r="E9" s="27">
        <f>SUM(E5:E8)</f>
        <v/>
      </c>
    </row>
    <row r="10">
      <c r="G10" s="4" t="inlineStr">
        <is>
          <t>Uitgavenlogboek</t>
        </is>
      </c>
      <c r="I10" s="12" t="inlineStr">
        <is>
          <t>Kies een categorie uit de lijst; het bedrag telt automatisch op bij Variabele uitgaven.</t>
        </is>
      </c>
    </row>
    <row r="11">
      <c r="B11" s="17" t="inlineStr">
        <is>
          <t>B · Vaste lasten</t>
        </is>
      </c>
      <c r="C11" s="23" t="inlineStr">
        <is>
          <t>Begroot</t>
        </is>
      </c>
      <c r="D11" s="23" t="inlineStr">
        <is>
          <t>Werkelijk</t>
        </is>
      </c>
      <c r="E11" s="23" t="inlineStr">
        <is>
          <t>Verschil</t>
        </is>
      </c>
      <c r="G11" s="17" t="inlineStr">
        <is>
          <t>Datum</t>
        </is>
      </c>
      <c r="H11" s="23" t="inlineStr">
        <is>
          <t>Omschrijving</t>
        </is>
      </c>
      <c r="I11" s="23" t="inlineStr">
        <is>
          <t>Categorie</t>
        </is>
      </c>
      <c r="J11" s="23" t="inlineStr">
        <is>
          <t>Bedrag</t>
        </is>
      </c>
    </row>
    <row r="12">
      <c r="B12" s="29">
        <f>Instellingen!$D$9</f>
        <v/>
      </c>
      <c r="C12" s="30" t="n"/>
      <c r="D12" s="30" t="n"/>
      <c r="E12" s="24">
        <f>C12-D12</f>
        <v/>
      </c>
      <c r="G12" s="33" t="n"/>
      <c r="H12" s="14" t="n"/>
      <c r="I12" s="14" t="n"/>
      <c r="J12" s="30" t="n"/>
    </row>
    <row r="13">
      <c r="B13" s="29">
        <f>Instellingen!$D$10</f>
        <v/>
      </c>
      <c r="C13" s="30" t="n"/>
      <c r="D13" s="30" t="n"/>
      <c r="E13" s="24">
        <f>C13-D13</f>
        <v/>
      </c>
      <c r="G13" s="33" t="n"/>
      <c r="H13" s="14" t="n"/>
      <c r="I13" s="14" t="n"/>
      <c r="J13" s="30" t="n"/>
    </row>
    <row r="14">
      <c r="B14" s="29">
        <f>Instellingen!$D$11</f>
        <v/>
      </c>
      <c r="C14" s="30" t="n"/>
      <c r="D14" s="30" t="n"/>
      <c r="E14" s="24">
        <f>C14-D14</f>
        <v/>
      </c>
      <c r="G14" s="33" t="n"/>
      <c r="H14" s="14" t="n"/>
      <c r="I14" s="14" t="n"/>
      <c r="J14" s="30" t="n"/>
    </row>
    <row r="15">
      <c r="B15" s="29">
        <f>Instellingen!$D$12</f>
        <v/>
      </c>
      <c r="C15" s="30" t="n"/>
      <c r="D15" s="30" t="n"/>
      <c r="E15" s="24">
        <f>C15-D15</f>
        <v/>
      </c>
      <c r="G15" s="33" t="n"/>
      <c r="H15" s="14" t="n"/>
      <c r="I15" s="14" t="n"/>
      <c r="J15" s="30" t="n"/>
    </row>
    <row r="16">
      <c r="B16" s="29">
        <f>Instellingen!$D$13</f>
        <v/>
      </c>
      <c r="C16" s="30" t="n"/>
      <c r="D16" s="30" t="n"/>
      <c r="E16" s="24">
        <f>C16-D16</f>
        <v/>
      </c>
      <c r="G16" s="33" t="n"/>
      <c r="H16" s="14" t="n"/>
      <c r="I16" s="14" t="n"/>
      <c r="J16" s="30" t="n"/>
    </row>
    <row r="17">
      <c r="B17" s="29">
        <f>Instellingen!$D$14</f>
        <v/>
      </c>
      <c r="C17" s="30" t="n"/>
      <c r="D17" s="30" t="n"/>
      <c r="E17" s="24">
        <f>C17-D17</f>
        <v/>
      </c>
      <c r="G17" s="33" t="n"/>
      <c r="H17" s="14" t="n"/>
      <c r="I17" s="14" t="n"/>
      <c r="J17" s="30" t="n"/>
    </row>
    <row r="18">
      <c r="B18" s="29">
        <f>Instellingen!$D$15</f>
        <v/>
      </c>
      <c r="C18" s="30" t="n"/>
      <c r="D18" s="30" t="n"/>
      <c r="E18" s="24">
        <f>C18-D18</f>
        <v/>
      </c>
      <c r="G18" s="33" t="n"/>
      <c r="H18" s="14" t="n"/>
      <c r="I18" s="14" t="n"/>
      <c r="J18" s="30" t="n"/>
    </row>
    <row r="19">
      <c r="B19" s="29">
        <f>Instellingen!$D$16</f>
        <v/>
      </c>
      <c r="C19" s="30" t="n"/>
      <c r="D19" s="30" t="n"/>
      <c r="E19" s="24">
        <f>C19-D19</f>
        <v/>
      </c>
      <c r="G19" s="33" t="n"/>
      <c r="H19" s="14" t="n"/>
      <c r="I19" s="14" t="n"/>
      <c r="J19" s="30" t="n"/>
    </row>
    <row r="20">
      <c r="B20" s="29">
        <f>Instellingen!$D$17</f>
        <v/>
      </c>
      <c r="C20" s="30" t="n"/>
      <c r="D20" s="30" t="n"/>
      <c r="E20" s="24">
        <f>C20-D20</f>
        <v/>
      </c>
      <c r="G20" s="33" t="n"/>
      <c r="H20" s="14" t="n"/>
      <c r="I20" s="14" t="n"/>
      <c r="J20" s="30" t="n"/>
    </row>
    <row r="21">
      <c r="B21" s="29">
        <f>Instellingen!$D$18</f>
        <v/>
      </c>
      <c r="C21" s="30" t="n"/>
      <c r="D21" s="30" t="n"/>
      <c r="E21" s="24">
        <f>C21-D21</f>
        <v/>
      </c>
      <c r="G21" s="33" t="n"/>
      <c r="H21" s="14" t="n"/>
      <c r="I21" s="14" t="n"/>
      <c r="J21" s="30" t="n"/>
    </row>
    <row r="22">
      <c r="B22" s="29">
        <f>Instellingen!$D$19</f>
        <v/>
      </c>
      <c r="C22" s="30" t="n"/>
      <c r="D22" s="30" t="n"/>
      <c r="E22" s="24">
        <f>C22-D22</f>
        <v/>
      </c>
      <c r="G22" s="33" t="n"/>
      <c r="H22" s="14" t="n"/>
      <c r="I22" s="14" t="n"/>
      <c r="J22" s="30" t="n"/>
    </row>
    <row r="23">
      <c r="B23" s="29">
        <f>Instellingen!$D$20</f>
        <v/>
      </c>
      <c r="C23" s="30" t="n"/>
      <c r="D23" s="30" t="n"/>
      <c r="E23" s="24">
        <f>C23-D23</f>
        <v/>
      </c>
      <c r="G23" s="33" t="n"/>
      <c r="H23" s="14" t="n"/>
      <c r="I23" s="14" t="n"/>
      <c r="J23" s="30" t="n"/>
    </row>
    <row r="24">
      <c r="B24" s="26" t="inlineStr">
        <is>
          <t>Subtotaal</t>
        </is>
      </c>
      <c r="C24" s="27">
        <f>SUM(C12:C23)</f>
        <v/>
      </c>
      <c r="D24" s="27">
        <f>SUM(D12:D23)</f>
        <v/>
      </c>
      <c r="E24" s="27">
        <f>SUM(E12:E23)</f>
        <v/>
      </c>
      <c r="G24" s="33" t="n"/>
      <c r="H24" s="14" t="n"/>
      <c r="I24" s="14" t="n"/>
      <c r="J24" s="30" t="n"/>
    </row>
    <row r="25">
      <c r="G25" s="33" t="n"/>
      <c r="H25" s="14" t="n"/>
      <c r="I25" s="14" t="n"/>
      <c r="J25" s="30" t="n"/>
    </row>
    <row r="26">
      <c r="B26" s="17" t="inlineStr">
        <is>
          <t>C · Variabele uitgaven</t>
        </is>
      </c>
      <c r="C26" s="23" t="inlineStr">
        <is>
          <t>Begroot</t>
        </is>
      </c>
      <c r="D26" s="23" t="inlineStr">
        <is>
          <t>Werkelijk</t>
        </is>
      </c>
      <c r="E26" s="23" t="inlineStr">
        <is>
          <t>Verschil</t>
        </is>
      </c>
      <c r="G26" s="33" t="n"/>
      <c r="H26" s="14" t="n"/>
      <c r="I26" s="14" t="n"/>
      <c r="J26" s="30" t="n"/>
    </row>
    <row r="27">
      <c r="B27" s="29">
        <f>Instellingen!$F$9</f>
        <v/>
      </c>
      <c r="C27" s="30" t="n"/>
      <c r="D27" s="24">
        <f>SUMIF($I$12:$I$51,B27,$J$12:$J$51)</f>
        <v/>
      </c>
      <c r="E27" s="24">
        <f>C27-D27</f>
        <v/>
      </c>
      <c r="G27" s="33" t="n"/>
      <c r="H27" s="14" t="n"/>
      <c r="I27" s="14" t="n"/>
      <c r="J27" s="30" t="n"/>
    </row>
    <row r="28">
      <c r="B28" s="29">
        <f>Instellingen!$F$10</f>
        <v/>
      </c>
      <c r="C28" s="30" t="n"/>
      <c r="D28" s="24">
        <f>SUMIF($I$12:$I$51,B28,$J$12:$J$51)</f>
        <v/>
      </c>
      <c r="E28" s="24">
        <f>C28-D28</f>
        <v/>
      </c>
      <c r="G28" s="33" t="n"/>
      <c r="H28" s="14" t="n"/>
      <c r="I28" s="14" t="n"/>
      <c r="J28" s="30" t="n"/>
    </row>
    <row r="29">
      <c r="B29" s="29">
        <f>Instellingen!$F$11</f>
        <v/>
      </c>
      <c r="C29" s="30" t="n"/>
      <c r="D29" s="24">
        <f>SUMIF($I$12:$I$51,B29,$J$12:$J$51)</f>
        <v/>
      </c>
      <c r="E29" s="24">
        <f>C29-D29</f>
        <v/>
      </c>
      <c r="G29" s="33" t="n"/>
      <c r="H29" s="14" t="n"/>
      <c r="I29" s="14" t="n"/>
      <c r="J29" s="30" t="n"/>
    </row>
    <row r="30">
      <c r="B30" s="29">
        <f>Instellingen!$F$12</f>
        <v/>
      </c>
      <c r="C30" s="30" t="n"/>
      <c r="D30" s="24">
        <f>SUMIF($I$12:$I$51,B30,$J$12:$J$51)</f>
        <v/>
      </c>
      <c r="E30" s="24">
        <f>C30-D30</f>
        <v/>
      </c>
      <c r="G30" s="33" t="n"/>
      <c r="H30" s="14" t="n"/>
      <c r="I30" s="14" t="n"/>
      <c r="J30" s="30" t="n"/>
    </row>
    <row r="31">
      <c r="B31" s="29">
        <f>Instellingen!$F$13</f>
        <v/>
      </c>
      <c r="C31" s="30" t="n"/>
      <c r="D31" s="24">
        <f>SUMIF($I$12:$I$51,B31,$J$12:$J$51)</f>
        <v/>
      </c>
      <c r="E31" s="24">
        <f>C31-D31</f>
        <v/>
      </c>
      <c r="G31" s="33" t="n"/>
      <c r="H31" s="14" t="n"/>
      <c r="I31" s="14" t="n"/>
      <c r="J31" s="30" t="n"/>
    </row>
    <row r="32">
      <c r="B32" s="29">
        <f>Instellingen!$F$14</f>
        <v/>
      </c>
      <c r="C32" s="30" t="n"/>
      <c r="D32" s="24">
        <f>SUMIF($I$12:$I$51,B32,$J$12:$J$51)</f>
        <v/>
      </c>
      <c r="E32" s="24">
        <f>C32-D32</f>
        <v/>
      </c>
      <c r="G32" s="33" t="n"/>
      <c r="H32" s="14" t="n"/>
      <c r="I32" s="14" t="n"/>
      <c r="J32" s="30" t="n"/>
    </row>
    <row r="33">
      <c r="B33" s="29">
        <f>Instellingen!$F$15</f>
        <v/>
      </c>
      <c r="C33" s="30" t="n"/>
      <c r="D33" s="24">
        <f>SUMIF($I$12:$I$51,B33,$J$12:$J$51)</f>
        <v/>
      </c>
      <c r="E33" s="24">
        <f>C33-D33</f>
        <v/>
      </c>
      <c r="G33" s="33" t="n"/>
      <c r="H33" s="14" t="n"/>
      <c r="I33" s="14" t="n"/>
      <c r="J33" s="30" t="n"/>
    </row>
    <row r="34">
      <c r="B34" s="29">
        <f>Instellingen!$F$16</f>
        <v/>
      </c>
      <c r="C34" s="30" t="n"/>
      <c r="D34" s="24">
        <f>SUMIF($I$12:$I$51,B34,$J$12:$J$51)</f>
        <v/>
      </c>
      <c r="E34" s="24">
        <f>C34-D34</f>
        <v/>
      </c>
      <c r="G34" s="33" t="n"/>
      <c r="H34" s="14" t="n"/>
      <c r="I34" s="14" t="n"/>
      <c r="J34" s="30" t="n"/>
    </row>
    <row r="35">
      <c r="B35" s="29">
        <f>Instellingen!$F$17</f>
        <v/>
      </c>
      <c r="C35" s="30" t="n"/>
      <c r="D35" s="24">
        <f>SUMIF($I$12:$I$51,B35,$J$12:$J$51)</f>
        <v/>
      </c>
      <c r="E35" s="24">
        <f>C35-D35</f>
        <v/>
      </c>
      <c r="G35" s="33" t="n"/>
      <c r="H35" s="14" t="n"/>
      <c r="I35" s="14" t="n"/>
      <c r="J35" s="30" t="n"/>
    </row>
    <row r="36">
      <c r="B36" s="29">
        <f>Instellingen!$F$18</f>
        <v/>
      </c>
      <c r="C36" s="30" t="n"/>
      <c r="D36" s="24">
        <f>SUMIF($I$12:$I$51,B36,$J$12:$J$51)</f>
        <v/>
      </c>
      <c r="E36" s="24">
        <f>C36-D36</f>
        <v/>
      </c>
      <c r="G36" s="33" t="n"/>
      <c r="H36" s="14" t="n"/>
      <c r="I36" s="14" t="n"/>
      <c r="J36" s="30" t="n"/>
    </row>
    <row r="37">
      <c r="B37" s="29">
        <f>Instellingen!$F$19</f>
        <v/>
      </c>
      <c r="C37" s="30" t="n"/>
      <c r="D37" s="24">
        <f>SUMIF($I$12:$I$51,B37,$J$12:$J$51)</f>
        <v/>
      </c>
      <c r="E37" s="24">
        <f>C37-D37</f>
        <v/>
      </c>
      <c r="G37" s="33" t="n"/>
      <c r="H37" s="14" t="n"/>
      <c r="I37" s="14" t="n"/>
      <c r="J37" s="30" t="n"/>
    </row>
    <row r="38">
      <c r="B38" s="26" t="inlineStr">
        <is>
          <t>Subtotaal</t>
        </is>
      </c>
      <c r="C38" s="27">
        <f>SUM(C27:C37)</f>
        <v/>
      </c>
      <c r="D38" s="27">
        <f>SUM(D27:D37)</f>
        <v/>
      </c>
      <c r="E38" s="27">
        <f>SUM(E27:E37)</f>
        <v/>
      </c>
      <c r="G38" s="33" t="n"/>
      <c r="H38" s="14" t="n"/>
      <c r="I38" s="14" t="n"/>
      <c r="J38" s="30" t="n"/>
    </row>
    <row r="39">
      <c r="G39" s="33" t="n"/>
      <c r="H39" s="14" t="n"/>
      <c r="I39" s="14" t="n"/>
      <c r="J39" s="30" t="n"/>
    </row>
    <row r="40">
      <c r="B40" s="17" t="inlineStr">
        <is>
          <t>D · Sparen</t>
        </is>
      </c>
      <c r="C40" s="23" t="inlineStr">
        <is>
          <t>Begroot</t>
        </is>
      </c>
      <c r="D40" s="23" t="inlineStr">
        <is>
          <t>Werkelijk</t>
        </is>
      </c>
      <c r="E40" s="23" t="inlineStr">
        <is>
          <t>Verschil</t>
        </is>
      </c>
      <c r="G40" s="33" t="n"/>
      <c r="H40" s="14" t="n"/>
      <c r="I40" s="14" t="n"/>
      <c r="J40" s="30" t="n"/>
    </row>
    <row r="41">
      <c r="B41" s="29">
        <f>Instellingen!$H$9</f>
        <v/>
      </c>
      <c r="C41" s="30" t="n"/>
      <c r="D41" s="30" t="n"/>
      <c r="E41" s="24">
        <f>D41-C41</f>
        <v/>
      </c>
      <c r="G41" s="33" t="n"/>
      <c r="H41" s="14" t="n"/>
      <c r="I41" s="14" t="n"/>
      <c r="J41" s="30" t="n"/>
    </row>
    <row r="42">
      <c r="B42" s="29">
        <f>Instellingen!$H$10</f>
        <v/>
      </c>
      <c r="C42" s="30" t="n"/>
      <c r="D42" s="30" t="n"/>
      <c r="E42" s="24">
        <f>D42-C42</f>
        <v/>
      </c>
      <c r="G42" s="33" t="n"/>
      <c r="H42" s="14" t="n"/>
      <c r="I42" s="14" t="n"/>
      <c r="J42" s="30" t="n"/>
    </row>
    <row r="43">
      <c r="B43" s="29">
        <f>Instellingen!$H$11</f>
        <v/>
      </c>
      <c r="C43" s="30" t="n"/>
      <c r="D43" s="30" t="n"/>
      <c r="E43" s="24">
        <f>D43-C43</f>
        <v/>
      </c>
      <c r="G43" s="33" t="n"/>
      <c r="H43" s="14" t="n"/>
      <c r="I43" s="14" t="n"/>
      <c r="J43" s="30" t="n"/>
    </row>
    <row r="44">
      <c r="B44" s="29">
        <f>Instellingen!$H$12</f>
        <v/>
      </c>
      <c r="C44" s="30" t="n"/>
      <c r="D44" s="30" t="n"/>
      <c r="E44" s="24">
        <f>D44-C44</f>
        <v/>
      </c>
      <c r="G44" s="33" t="n"/>
      <c r="H44" s="14" t="n"/>
      <c r="I44" s="14" t="n"/>
      <c r="J44" s="30" t="n"/>
    </row>
    <row r="45">
      <c r="B45" s="26" t="inlineStr">
        <is>
          <t>Subtotaal</t>
        </is>
      </c>
      <c r="C45" s="27">
        <f>SUM(C41:C44)</f>
        <v/>
      </c>
      <c r="D45" s="27">
        <f>SUM(D41:D44)</f>
        <v/>
      </c>
      <c r="E45" s="27">
        <f>SUM(E41:E44)</f>
        <v/>
      </c>
      <c r="G45" s="33" t="n"/>
      <c r="H45" s="14" t="n"/>
      <c r="I45" s="14" t="n"/>
      <c r="J45" s="30" t="n"/>
    </row>
    <row r="46">
      <c r="B46" s="12" t="inlineStr">
        <is>
          <t>Werkelijk bij variabele uitgaven wordt automatisch gevuld vanuit het Uitgavenlogboek.</t>
        </is>
      </c>
      <c r="G46" s="33" t="n"/>
      <c r="H46" s="14" t="n"/>
      <c r="I46" s="14" t="n"/>
      <c r="J46" s="30" t="n"/>
    </row>
    <row r="47">
      <c r="G47" s="33" t="n"/>
      <c r="H47" s="14" t="n"/>
      <c r="I47" s="14" t="n"/>
      <c r="J47" s="30" t="n"/>
    </row>
    <row r="48">
      <c r="G48" s="33" t="n"/>
      <c r="H48" s="14" t="n"/>
      <c r="I48" s="14" t="n"/>
      <c r="J48" s="30" t="n"/>
    </row>
    <row r="49">
      <c r="G49" s="33" t="n"/>
      <c r="H49" s="14" t="n"/>
      <c r="I49" s="14" t="n"/>
      <c r="J49" s="30" t="n"/>
    </row>
    <row r="50">
      <c r="G50" s="33" t="n"/>
      <c r="H50" s="14" t="n"/>
      <c r="I50" s="14" t="n"/>
      <c r="J50" s="30" t="n"/>
    </row>
    <row r="51">
      <c r="G51" s="33" t="n"/>
      <c r="H51" s="14" t="n"/>
      <c r="I51" s="14" t="n"/>
      <c r="J51" s="30" t="n"/>
    </row>
    <row r="52">
      <c r="G52" s="26" t="inlineStr">
        <is>
          <t>Totaal logboek</t>
        </is>
      </c>
      <c r="H52" s="34" t="n"/>
      <c r="I52" s="20" t="n"/>
      <c r="J52" s="27">
        <f>SUM(J12:J51)</f>
        <v/>
      </c>
    </row>
  </sheetData>
  <mergeCells count="6">
    <mergeCell ref="G4:H4"/>
    <mergeCell ref="G7:H7"/>
    <mergeCell ref="G5:H5"/>
    <mergeCell ref="G6:H6"/>
    <mergeCell ref="G8:H8"/>
    <mergeCell ref="G52:I52"/>
  </mergeCells>
  <conditionalFormatting sqref="E5:E9">
    <cfRule type="cellIs" priority="1" operator="lessThan" dxfId="0">
      <formula>0</formula>
    </cfRule>
  </conditionalFormatting>
  <conditionalFormatting sqref="E12:E24">
    <cfRule type="cellIs" priority="2" operator="lessThan" dxfId="0">
      <formula>0</formula>
    </cfRule>
  </conditionalFormatting>
  <conditionalFormatting sqref="E27:E38">
    <cfRule type="cellIs" priority="3" operator="lessThan" dxfId="0">
      <formula>0</formula>
    </cfRule>
  </conditionalFormatting>
  <conditionalFormatting sqref="E41:E45">
    <cfRule type="cellIs" priority="4" operator="lessThan" dxfId="0">
      <formula>0</formula>
    </cfRule>
  </conditionalFormatting>
  <conditionalFormatting sqref="I8:J8">
    <cfRule type="cellIs" priority="5" operator="lessThan" dxfId="0">
      <formula>0</formula>
    </cfRule>
  </conditionalFormatting>
  <dataValidations count="1">
    <dataValidation sqref="I12:I51" showDropDown="0" showInputMessage="0" showErrorMessage="1" allowBlank="1" errorTitle="Onbekende categorie" error="Kies een categorie uit de lijst (aanpassen kan op het tabblad Instellingen)." type="list">
      <formula1>=Instellingen!$F$9:$F$19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F7A61"/>
    <outlinePr summaryBelow="1" summaryRight="1"/>
    <pageSetUpPr/>
  </sheetPr>
  <dimension ref="B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3" customWidth="1" min="6" max="6"/>
    <col width="14" customWidth="1" min="7" max="7"/>
    <col width="32" customWidth="1" min="8" max="8"/>
    <col width="26" customWidth="1" min="9" max="9"/>
    <col width="14" customWidth="1" min="10" max="10"/>
  </cols>
  <sheetData>
    <row r="1">
      <c r="B1" s="1" t="inlineStr">
        <is>
          <t>Plannerij</t>
        </is>
      </c>
    </row>
    <row r="2" ht="30" customHeight="1">
      <c r="B2" s="2" t="inlineStr">
        <is>
          <t>Mei</t>
        </is>
      </c>
    </row>
    <row r="3">
      <c r="B3" s="3">
        <f>IF(Instellingen!$C$5="","",Instellingen!$C$5)</f>
        <v/>
      </c>
    </row>
    <row r="4">
      <c r="B4" s="17" t="inlineStr">
        <is>
          <t>A · Inkomen</t>
        </is>
      </c>
      <c r="C4" s="23" t="inlineStr">
        <is>
          <t>Begroot</t>
        </is>
      </c>
      <c r="D4" s="23" t="inlineStr">
        <is>
          <t>Werkelijk</t>
        </is>
      </c>
      <c r="E4" s="23" t="inlineStr">
        <is>
          <t>Verschil</t>
        </is>
      </c>
      <c r="G4" s="17" t="inlineStr">
        <is>
          <t>Samenvatting</t>
        </is>
      </c>
      <c r="H4" s="20" t="n"/>
      <c r="I4" s="23" t="inlineStr">
        <is>
          <t>Begroot</t>
        </is>
      </c>
      <c r="J4" s="23" t="inlineStr">
        <is>
          <t>Werkelijk</t>
        </is>
      </c>
    </row>
    <row r="5">
      <c r="B5" s="29">
        <f>Instellingen!$B$9</f>
        <v/>
      </c>
      <c r="C5" s="30" t="n"/>
      <c r="D5" s="30" t="n"/>
      <c r="E5" s="24">
        <f>D5-C5</f>
        <v/>
      </c>
      <c r="G5" s="31" t="inlineStr">
        <is>
          <t>Totaal inkomen</t>
        </is>
      </c>
      <c r="H5" s="20" t="n"/>
      <c r="I5" s="32">
        <f>C9</f>
        <v/>
      </c>
      <c r="J5" s="32">
        <f>D9</f>
        <v/>
      </c>
    </row>
    <row r="6">
      <c r="B6" s="29">
        <f>Instellingen!$B$10</f>
        <v/>
      </c>
      <c r="C6" s="30" t="n"/>
      <c r="D6" s="30" t="n"/>
      <c r="E6" s="24">
        <f>D6-C6</f>
        <v/>
      </c>
      <c r="G6" s="31" t="inlineStr">
        <is>
          <t>Totaal uitgaven</t>
        </is>
      </c>
      <c r="H6" s="20" t="n"/>
      <c r="I6" s="32">
        <f>C24+C38</f>
        <v/>
      </c>
      <c r="J6" s="32">
        <f>D24+D38</f>
        <v/>
      </c>
    </row>
    <row r="7">
      <c r="B7" s="29">
        <f>Instellingen!$B$11</f>
        <v/>
      </c>
      <c r="C7" s="30" t="n"/>
      <c r="D7" s="30" t="n"/>
      <c r="E7" s="24">
        <f>D7-C7</f>
        <v/>
      </c>
      <c r="G7" s="31" t="inlineStr">
        <is>
          <t>Gespaard</t>
        </is>
      </c>
      <c r="H7" s="20" t="n"/>
      <c r="I7" s="32">
        <f>C45</f>
        <v/>
      </c>
      <c r="J7" s="32">
        <f>D45</f>
        <v/>
      </c>
    </row>
    <row r="8">
      <c r="B8" s="29">
        <f>Instellingen!$B$12</f>
        <v/>
      </c>
      <c r="C8" s="30" t="n"/>
      <c r="D8" s="30" t="n"/>
      <c r="E8" s="24">
        <f>D8-C8</f>
        <v/>
      </c>
      <c r="G8" s="26" t="inlineStr">
        <is>
          <t>Over / tekort</t>
        </is>
      </c>
      <c r="H8" s="20" t="n"/>
      <c r="I8" s="27">
        <f>I5-I6-I7</f>
        <v/>
      </c>
      <c r="J8" s="27">
        <f>J5-J6-J7</f>
        <v/>
      </c>
    </row>
    <row r="9">
      <c r="B9" s="26" t="inlineStr">
        <is>
          <t>Subtotaal</t>
        </is>
      </c>
      <c r="C9" s="27">
        <f>SUM(C5:C8)</f>
        <v/>
      </c>
      <c r="D9" s="27">
        <f>SUM(D5:D8)</f>
        <v/>
      </c>
      <c r="E9" s="27">
        <f>SUM(E5:E8)</f>
        <v/>
      </c>
    </row>
    <row r="10">
      <c r="G10" s="4" t="inlineStr">
        <is>
          <t>Uitgavenlogboek</t>
        </is>
      </c>
      <c r="I10" s="12" t="inlineStr">
        <is>
          <t>Kies een categorie uit de lijst; het bedrag telt automatisch op bij Variabele uitgaven.</t>
        </is>
      </c>
    </row>
    <row r="11">
      <c r="B11" s="17" t="inlineStr">
        <is>
          <t>B · Vaste lasten</t>
        </is>
      </c>
      <c r="C11" s="23" t="inlineStr">
        <is>
          <t>Begroot</t>
        </is>
      </c>
      <c r="D11" s="23" t="inlineStr">
        <is>
          <t>Werkelijk</t>
        </is>
      </c>
      <c r="E11" s="23" t="inlineStr">
        <is>
          <t>Verschil</t>
        </is>
      </c>
      <c r="G11" s="17" t="inlineStr">
        <is>
          <t>Datum</t>
        </is>
      </c>
      <c r="H11" s="23" t="inlineStr">
        <is>
          <t>Omschrijving</t>
        </is>
      </c>
      <c r="I11" s="23" t="inlineStr">
        <is>
          <t>Categorie</t>
        </is>
      </c>
      <c r="J11" s="23" t="inlineStr">
        <is>
          <t>Bedrag</t>
        </is>
      </c>
    </row>
    <row r="12">
      <c r="B12" s="29">
        <f>Instellingen!$D$9</f>
        <v/>
      </c>
      <c r="C12" s="30" t="n"/>
      <c r="D12" s="30" t="n"/>
      <c r="E12" s="24">
        <f>C12-D12</f>
        <v/>
      </c>
      <c r="G12" s="33" t="n"/>
      <c r="H12" s="14" t="n"/>
      <c r="I12" s="14" t="n"/>
      <c r="J12" s="30" t="n"/>
    </row>
    <row r="13">
      <c r="B13" s="29">
        <f>Instellingen!$D$10</f>
        <v/>
      </c>
      <c r="C13" s="30" t="n"/>
      <c r="D13" s="30" t="n"/>
      <c r="E13" s="24">
        <f>C13-D13</f>
        <v/>
      </c>
      <c r="G13" s="33" t="n"/>
      <c r="H13" s="14" t="n"/>
      <c r="I13" s="14" t="n"/>
      <c r="J13" s="30" t="n"/>
    </row>
    <row r="14">
      <c r="B14" s="29">
        <f>Instellingen!$D$11</f>
        <v/>
      </c>
      <c r="C14" s="30" t="n"/>
      <c r="D14" s="30" t="n"/>
      <c r="E14" s="24">
        <f>C14-D14</f>
        <v/>
      </c>
      <c r="G14" s="33" t="n"/>
      <c r="H14" s="14" t="n"/>
      <c r="I14" s="14" t="n"/>
      <c r="J14" s="30" t="n"/>
    </row>
    <row r="15">
      <c r="B15" s="29">
        <f>Instellingen!$D$12</f>
        <v/>
      </c>
      <c r="C15" s="30" t="n"/>
      <c r="D15" s="30" t="n"/>
      <c r="E15" s="24">
        <f>C15-D15</f>
        <v/>
      </c>
      <c r="G15" s="33" t="n"/>
      <c r="H15" s="14" t="n"/>
      <c r="I15" s="14" t="n"/>
      <c r="J15" s="30" t="n"/>
    </row>
    <row r="16">
      <c r="B16" s="29">
        <f>Instellingen!$D$13</f>
        <v/>
      </c>
      <c r="C16" s="30" t="n"/>
      <c r="D16" s="30" t="n"/>
      <c r="E16" s="24">
        <f>C16-D16</f>
        <v/>
      </c>
      <c r="G16" s="33" t="n"/>
      <c r="H16" s="14" t="n"/>
      <c r="I16" s="14" t="n"/>
      <c r="J16" s="30" t="n"/>
    </row>
    <row r="17">
      <c r="B17" s="29">
        <f>Instellingen!$D$14</f>
        <v/>
      </c>
      <c r="C17" s="30" t="n"/>
      <c r="D17" s="30" t="n"/>
      <c r="E17" s="24">
        <f>C17-D17</f>
        <v/>
      </c>
      <c r="G17" s="33" t="n"/>
      <c r="H17" s="14" t="n"/>
      <c r="I17" s="14" t="n"/>
      <c r="J17" s="30" t="n"/>
    </row>
    <row r="18">
      <c r="B18" s="29">
        <f>Instellingen!$D$15</f>
        <v/>
      </c>
      <c r="C18" s="30" t="n"/>
      <c r="D18" s="30" t="n"/>
      <c r="E18" s="24">
        <f>C18-D18</f>
        <v/>
      </c>
      <c r="G18" s="33" t="n"/>
      <c r="H18" s="14" t="n"/>
      <c r="I18" s="14" t="n"/>
      <c r="J18" s="30" t="n"/>
    </row>
    <row r="19">
      <c r="B19" s="29">
        <f>Instellingen!$D$16</f>
        <v/>
      </c>
      <c r="C19" s="30" t="n"/>
      <c r="D19" s="30" t="n"/>
      <c r="E19" s="24">
        <f>C19-D19</f>
        <v/>
      </c>
      <c r="G19" s="33" t="n"/>
      <c r="H19" s="14" t="n"/>
      <c r="I19" s="14" t="n"/>
      <c r="J19" s="30" t="n"/>
    </row>
    <row r="20">
      <c r="B20" s="29">
        <f>Instellingen!$D$17</f>
        <v/>
      </c>
      <c r="C20" s="30" t="n"/>
      <c r="D20" s="30" t="n"/>
      <c r="E20" s="24">
        <f>C20-D20</f>
        <v/>
      </c>
      <c r="G20" s="33" t="n"/>
      <c r="H20" s="14" t="n"/>
      <c r="I20" s="14" t="n"/>
      <c r="J20" s="30" t="n"/>
    </row>
    <row r="21">
      <c r="B21" s="29">
        <f>Instellingen!$D$18</f>
        <v/>
      </c>
      <c r="C21" s="30" t="n"/>
      <c r="D21" s="30" t="n"/>
      <c r="E21" s="24">
        <f>C21-D21</f>
        <v/>
      </c>
      <c r="G21" s="33" t="n"/>
      <c r="H21" s="14" t="n"/>
      <c r="I21" s="14" t="n"/>
      <c r="J21" s="30" t="n"/>
    </row>
    <row r="22">
      <c r="B22" s="29">
        <f>Instellingen!$D$19</f>
        <v/>
      </c>
      <c r="C22" s="30" t="n"/>
      <c r="D22" s="30" t="n"/>
      <c r="E22" s="24">
        <f>C22-D22</f>
        <v/>
      </c>
      <c r="G22" s="33" t="n"/>
      <c r="H22" s="14" t="n"/>
      <c r="I22" s="14" t="n"/>
      <c r="J22" s="30" t="n"/>
    </row>
    <row r="23">
      <c r="B23" s="29">
        <f>Instellingen!$D$20</f>
        <v/>
      </c>
      <c r="C23" s="30" t="n"/>
      <c r="D23" s="30" t="n"/>
      <c r="E23" s="24">
        <f>C23-D23</f>
        <v/>
      </c>
      <c r="G23" s="33" t="n"/>
      <c r="H23" s="14" t="n"/>
      <c r="I23" s="14" t="n"/>
      <c r="J23" s="30" t="n"/>
    </row>
    <row r="24">
      <c r="B24" s="26" t="inlineStr">
        <is>
          <t>Subtotaal</t>
        </is>
      </c>
      <c r="C24" s="27">
        <f>SUM(C12:C23)</f>
        <v/>
      </c>
      <c r="D24" s="27">
        <f>SUM(D12:D23)</f>
        <v/>
      </c>
      <c r="E24" s="27">
        <f>SUM(E12:E23)</f>
        <v/>
      </c>
      <c r="G24" s="33" t="n"/>
      <c r="H24" s="14" t="n"/>
      <c r="I24" s="14" t="n"/>
      <c r="J24" s="30" t="n"/>
    </row>
    <row r="25">
      <c r="G25" s="33" t="n"/>
      <c r="H25" s="14" t="n"/>
      <c r="I25" s="14" t="n"/>
      <c r="J25" s="30" t="n"/>
    </row>
    <row r="26">
      <c r="B26" s="17" t="inlineStr">
        <is>
          <t>C · Variabele uitgaven</t>
        </is>
      </c>
      <c r="C26" s="23" t="inlineStr">
        <is>
          <t>Begroot</t>
        </is>
      </c>
      <c r="D26" s="23" t="inlineStr">
        <is>
          <t>Werkelijk</t>
        </is>
      </c>
      <c r="E26" s="23" t="inlineStr">
        <is>
          <t>Verschil</t>
        </is>
      </c>
      <c r="G26" s="33" t="n"/>
      <c r="H26" s="14" t="n"/>
      <c r="I26" s="14" t="n"/>
      <c r="J26" s="30" t="n"/>
    </row>
    <row r="27">
      <c r="B27" s="29">
        <f>Instellingen!$F$9</f>
        <v/>
      </c>
      <c r="C27" s="30" t="n"/>
      <c r="D27" s="24">
        <f>SUMIF($I$12:$I$51,B27,$J$12:$J$51)</f>
        <v/>
      </c>
      <c r="E27" s="24">
        <f>C27-D27</f>
        <v/>
      </c>
      <c r="G27" s="33" t="n"/>
      <c r="H27" s="14" t="n"/>
      <c r="I27" s="14" t="n"/>
      <c r="J27" s="30" t="n"/>
    </row>
    <row r="28">
      <c r="B28" s="29">
        <f>Instellingen!$F$10</f>
        <v/>
      </c>
      <c r="C28" s="30" t="n"/>
      <c r="D28" s="24">
        <f>SUMIF($I$12:$I$51,B28,$J$12:$J$51)</f>
        <v/>
      </c>
      <c r="E28" s="24">
        <f>C28-D28</f>
        <v/>
      </c>
      <c r="G28" s="33" t="n"/>
      <c r="H28" s="14" t="n"/>
      <c r="I28" s="14" t="n"/>
      <c r="J28" s="30" t="n"/>
    </row>
    <row r="29">
      <c r="B29" s="29">
        <f>Instellingen!$F$11</f>
        <v/>
      </c>
      <c r="C29" s="30" t="n"/>
      <c r="D29" s="24">
        <f>SUMIF($I$12:$I$51,B29,$J$12:$J$51)</f>
        <v/>
      </c>
      <c r="E29" s="24">
        <f>C29-D29</f>
        <v/>
      </c>
      <c r="G29" s="33" t="n"/>
      <c r="H29" s="14" t="n"/>
      <c r="I29" s="14" t="n"/>
      <c r="J29" s="30" t="n"/>
    </row>
    <row r="30">
      <c r="B30" s="29">
        <f>Instellingen!$F$12</f>
        <v/>
      </c>
      <c r="C30" s="30" t="n"/>
      <c r="D30" s="24">
        <f>SUMIF($I$12:$I$51,B30,$J$12:$J$51)</f>
        <v/>
      </c>
      <c r="E30" s="24">
        <f>C30-D30</f>
        <v/>
      </c>
      <c r="G30" s="33" t="n"/>
      <c r="H30" s="14" t="n"/>
      <c r="I30" s="14" t="n"/>
      <c r="J30" s="30" t="n"/>
    </row>
    <row r="31">
      <c r="B31" s="29">
        <f>Instellingen!$F$13</f>
        <v/>
      </c>
      <c r="C31" s="30" t="n"/>
      <c r="D31" s="24">
        <f>SUMIF($I$12:$I$51,B31,$J$12:$J$51)</f>
        <v/>
      </c>
      <c r="E31" s="24">
        <f>C31-D31</f>
        <v/>
      </c>
      <c r="G31" s="33" t="n"/>
      <c r="H31" s="14" t="n"/>
      <c r="I31" s="14" t="n"/>
      <c r="J31" s="30" t="n"/>
    </row>
    <row r="32">
      <c r="B32" s="29">
        <f>Instellingen!$F$14</f>
        <v/>
      </c>
      <c r="C32" s="30" t="n"/>
      <c r="D32" s="24">
        <f>SUMIF($I$12:$I$51,B32,$J$12:$J$51)</f>
        <v/>
      </c>
      <c r="E32" s="24">
        <f>C32-D32</f>
        <v/>
      </c>
      <c r="G32" s="33" t="n"/>
      <c r="H32" s="14" t="n"/>
      <c r="I32" s="14" t="n"/>
      <c r="J32" s="30" t="n"/>
    </row>
    <row r="33">
      <c r="B33" s="29">
        <f>Instellingen!$F$15</f>
        <v/>
      </c>
      <c r="C33" s="30" t="n"/>
      <c r="D33" s="24">
        <f>SUMIF($I$12:$I$51,B33,$J$12:$J$51)</f>
        <v/>
      </c>
      <c r="E33" s="24">
        <f>C33-D33</f>
        <v/>
      </c>
      <c r="G33" s="33" t="n"/>
      <c r="H33" s="14" t="n"/>
      <c r="I33" s="14" t="n"/>
      <c r="J33" s="30" t="n"/>
    </row>
    <row r="34">
      <c r="B34" s="29">
        <f>Instellingen!$F$16</f>
        <v/>
      </c>
      <c r="C34" s="30" t="n"/>
      <c r="D34" s="24">
        <f>SUMIF($I$12:$I$51,B34,$J$12:$J$51)</f>
        <v/>
      </c>
      <c r="E34" s="24">
        <f>C34-D34</f>
        <v/>
      </c>
      <c r="G34" s="33" t="n"/>
      <c r="H34" s="14" t="n"/>
      <c r="I34" s="14" t="n"/>
      <c r="J34" s="30" t="n"/>
    </row>
    <row r="35">
      <c r="B35" s="29">
        <f>Instellingen!$F$17</f>
        <v/>
      </c>
      <c r="C35" s="30" t="n"/>
      <c r="D35" s="24">
        <f>SUMIF($I$12:$I$51,B35,$J$12:$J$51)</f>
        <v/>
      </c>
      <c r="E35" s="24">
        <f>C35-D35</f>
        <v/>
      </c>
      <c r="G35" s="33" t="n"/>
      <c r="H35" s="14" t="n"/>
      <c r="I35" s="14" t="n"/>
      <c r="J35" s="30" t="n"/>
    </row>
    <row r="36">
      <c r="B36" s="29">
        <f>Instellingen!$F$18</f>
        <v/>
      </c>
      <c r="C36" s="30" t="n"/>
      <c r="D36" s="24">
        <f>SUMIF($I$12:$I$51,B36,$J$12:$J$51)</f>
        <v/>
      </c>
      <c r="E36" s="24">
        <f>C36-D36</f>
        <v/>
      </c>
      <c r="G36" s="33" t="n"/>
      <c r="H36" s="14" t="n"/>
      <c r="I36" s="14" t="n"/>
      <c r="J36" s="30" t="n"/>
    </row>
    <row r="37">
      <c r="B37" s="29">
        <f>Instellingen!$F$19</f>
        <v/>
      </c>
      <c r="C37" s="30" t="n"/>
      <c r="D37" s="24">
        <f>SUMIF($I$12:$I$51,B37,$J$12:$J$51)</f>
        <v/>
      </c>
      <c r="E37" s="24">
        <f>C37-D37</f>
        <v/>
      </c>
      <c r="G37" s="33" t="n"/>
      <c r="H37" s="14" t="n"/>
      <c r="I37" s="14" t="n"/>
      <c r="J37" s="30" t="n"/>
    </row>
    <row r="38">
      <c r="B38" s="26" t="inlineStr">
        <is>
          <t>Subtotaal</t>
        </is>
      </c>
      <c r="C38" s="27">
        <f>SUM(C27:C37)</f>
        <v/>
      </c>
      <c r="D38" s="27">
        <f>SUM(D27:D37)</f>
        <v/>
      </c>
      <c r="E38" s="27">
        <f>SUM(E27:E37)</f>
        <v/>
      </c>
      <c r="G38" s="33" t="n"/>
      <c r="H38" s="14" t="n"/>
      <c r="I38" s="14" t="n"/>
      <c r="J38" s="30" t="n"/>
    </row>
    <row r="39">
      <c r="G39" s="33" t="n"/>
      <c r="H39" s="14" t="n"/>
      <c r="I39" s="14" t="n"/>
      <c r="J39" s="30" t="n"/>
    </row>
    <row r="40">
      <c r="B40" s="17" t="inlineStr">
        <is>
          <t>D · Sparen</t>
        </is>
      </c>
      <c r="C40" s="23" t="inlineStr">
        <is>
          <t>Begroot</t>
        </is>
      </c>
      <c r="D40" s="23" t="inlineStr">
        <is>
          <t>Werkelijk</t>
        </is>
      </c>
      <c r="E40" s="23" t="inlineStr">
        <is>
          <t>Verschil</t>
        </is>
      </c>
      <c r="G40" s="33" t="n"/>
      <c r="H40" s="14" t="n"/>
      <c r="I40" s="14" t="n"/>
      <c r="J40" s="30" t="n"/>
    </row>
    <row r="41">
      <c r="B41" s="29">
        <f>Instellingen!$H$9</f>
        <v/>
      </c>
      <c r="C41" s="30" t="n"/>
      <c r="D41" s="30" t="n"/>
      <c r="E41" s="24">
        <f>D41-C41</f>
        <v/>
      </c>
      <c r="G41" s="33" t="n"/>
      <c r="H41" s="14" t="n"/>
      <c r="I41" s="14" t="n"/>
      <c r="J41" s="30" t="n"/>
    </row>
    <row r="42">
      <c r="B42" s="29">
        <f>Instellingen!$H$10</f>
        <v/>
      </c>
      <c r="C42" s="30" t="n"/>
      <c r="D42" s="30" t="n"/>
      <c r="E42" s="24">
        <f>D42-C42</f>
        <v/>
      </c>
      <c r="G42" s="33" t="n"/>
      <c r="H42" s="14" t="n"/>
      <c r="I42" s="14" t="n"/>
      <c r="J42" s="30" t="n"/>
    </row>
    <row r="43">
      <c r="B43" s="29">
        <f>Instellingen!$H$11</f>
        <v/>
      </c>
      <c r="C43" s="30" t="n"/>
      <c r="D43" s="30" t="n"/>
      <c r="E43" s="24">
        <f>D43-C43</f>
        <v/>
      </c>
      <c r="G43" s="33" t="n"/>
      <c r="H43" s="14" t="n"/>
      <c r="I43" s="14" t="n"/>
      <c r="J43" s="30" t="n"/>
    </row>
    <row r="44">
      <c r="B44" s="29">
        <f>Instellingen!$H$12</f>
        <v/>
      </c>
      <c r="C44" s="30" t="n"/>
      <c r="D44" s="30" t="n"/>
      <c r="E44" s="24">
        <f>D44-C44</f>
        <v/>
      </c>
      <c r="G44" s="33" t="n"/>
      <c r="H44" s="14" t="n"/>
      <c r="I44" s="14" t="n"/>
      <c r="J44" s="30" t="n"/>
    </row>
    <row r="45">
      <c r="B45" s="26" t="inlineStr">
        <is>
          <t>Subtotaal</t>
        </is>
      </c>
      <c r="C45" s="27">
        <f>SUM(C41:C44)</f>
        <v/>
      </c>
      <c r="D45" s="27">
        <f>SUM(D41:D44)</f>
        <v/>
      </c>
      <c r="E45" s="27">
        <f>SUM(E41:E44)</f>
        <v/>
      </c>
      <c r="G45" s="33" t="n"/>
      <c r="H45" s="14" t="n"/>
      <c r="I45" s="14" t="n"/>
      <c r="J45" s="30" t="n"/>
    </row>
    <row r="46">
      <c r="B46" s="12" t="inlineStr">
        <is>
          <t>Werkelijk bij variabele uitgaven wordt automatisch gevuld vanuit het Uitgavenlogboek.</t>
        </is>
      </c>
      <c r="G46" s="33" t="n"/>
      <c r="H46" s="14" t="n"/>
      <c r="I46" s="14" t="n"/>
      <c r="J46" s="30" t="n"/>
    </row>
    <row r="47">
      <c r="G47" s="33" t="n"/>
      <c r="H47" s="14" t="n"/>
      <c r="I47" s="14" t="n"/>
      <c r="J47" s="30" t="n"/>
    </row>
    <row r="48">
      <c r="G48" s="33" t="n"/>
      <c r="H48" s="14" t="n"/>
      <c r="I48" s="14" t="n"/>
      <c r="J48" s="30" t="n"/>
    </row>
    <row r="49">
      <c r="G49" s="33" t="n"/>
      <c r="H49" s="14" t="n"/>
      <c r="I49" s="14" t="n"/>
      <c r="J49" s="30" t="n"/>
    </row>
    <row r="50">
      <c r="G50" s="33" t="n"/>
      <c r="H50" s="14" t="n"/>
      <c r="I50" s="14" t="n"/>
      <c r="J50" s="30" t="n"/>
    </row>
    <row r="51">
      <c r="G51" s="33" t="n"/>
      <c r="H51" s="14" t="n"/>
      <c r="I51" s="14" t="n"/>
      <c r="J51" s="30" t="n"/>
    </row>
    <row r="52">
      <c r="G52" s="26" t="inlineStr">
        <is>
          <t>Totaal logboek</t>
        </is>
      </c>
      <c r="H52" s="34" t="n"/>
      <c r="I52" s="20" t="n"/>
      <c r="J52" s="27">
        <f>SUM(J12:J51)</f>
        <v/>
      </c>
    </row>
  </sheetData>
  <mergeCells count="6">
    <mergeCell ref="G4:H4"/>
    <mergeCell ref="G7:H7"/>
    <mergeCell ref="G5:H5"/>
    <mergeCell ref="G6:H6"/>
    <mergeCell ref="G8:H8"/>
    <mergeCell ref="G52:I52"/>
  </mergeCells>
  <conditionalFormatting sqref="E5:E9">
    <cfRule type="cellIs" priority="1" operator="lessThan" dxfId="0">
      <formula>0</formula>
    </cfRule>
  </conditionalFormatting>
  <conditionalFormatting sqref="E12:E24">
    <cfRule type="cellIs" priority="2" operator="lessThan" dxfId="0">
      <formula>0</formula>
    </cfRule>
  </conditionalFormatting>
  <conditionalFormatting sqref="E27:E38">
    <cfRule type="cellIs" priority="3" operator="lessThan" dxfId="0">
      <formula>0</formula>
    </cfRule>
  </conditionalFormatting>
  <conditionalFormatting sqref="E41:E45">
    <cfRule type="cellIs" priority="4" operator="lessThan" dxfId="0">
      <formula>0</formula>
    </cfRule>
  </conditionalFormatting>
  <conditionalFormatting sqref="I8:J8">
    <cfRule type="cellIs" priority="5" operator="lessThan" dxfId="0">
      <formula>0</formula>
    </cfRule>
  </conditionalFormatting>
  <dataValidations count="1">
    <dataValidation sqref="I12:I51" showDropDown="0" showInputMessage="0" showErrorMessage="1" allowBlank="1" errorTitle="Onbekende categorie" error="Kies een categorie uit de lijst (aanpassen kan op het tabblad Instellingen)." type="list">
      <formula1>=Instellingen!$F$9:$F$19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F7A61"/>
    <outlinePr summaryBelow="1" summaryRight="1"/>
    <pageSetUpPr/>
  </sheetPr>
  <dimension ref="B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3" customWidth="1" min="6" max="6"/>
    <col width="14" customWidth="1" min="7" max="7"/>
    <col width="32" customWidth="1" min="8" max="8"/>
    <col width="26" customWidth="1" min="9" max="9"/>
    <col width="14" customWidth="1" min="10" max="10"/>
  </cols>
  <sheetData>
    <row r="1">
      <c r="B1" s="1" t="inlineStr">
        <is>
          <t>Plannerij</t>
        </is>
      </c>
    </row>
    <row r="2" ht="30" customHeight="1">
      <c r="B2" s="2" t="inlineStr">
        <is>
          <t>Juni</t>
        </is>
      </c>
    </row>
    <row r="3">
      <c r="B3" s="3">
        <f>IF(Instellingen!$C$5="","",Instellingen!$C$5)</f>
        <v/>
      </c>
    </row>
    <row r="4">
      <c r="B4" s="17" t="inlineStr">
        <is>
          <t>A · Inkomen</t>
        </is>
      </c>
      <c r="C4" s="23" t="inlineStr">
        <is>
          <t>Begroot</t>
        </is>
      </c>
      <c r="D4" s="23" t="inlineStr">
        <is>
          <t>Werkelijk</t>
        </is>
      </c>
      <c r="E4" s="23" t="inlineStr">
        <is>
          <t>Verschil</t>
        </is>
      </c>
      <c r="G4" s="17" t="inlineStr">
        <is>
          <t>Samenvatting</t>
        </is>
      </c>
      <c r="H4" s="20" t="n"/>
      <c r="I4" s="23" t="inlineStr">
        <is>
          <t>Begroot</t>
        </is>
      </c>
      <c r="J4" s="23" t="inlineStr">
        <is>
          <t>Werkelijk</t>
        </is>
      </c>
    </row>
    <row r="5">
      <c r="B5" s="29">
        <f>Instellingen!$B$9</f>
        <v/>
      </c>
      <c r="C5" s="30" t="n"/>
      <c r="D5" s="30" t="n"/>
      <c r="E5" s="24">
        <f>D5-C5</f>
        <v/>
      </c>
      <c r="G5" s="31" t="inlineStr">
        <is>
          <t>Totaal inkomen</t>
        </is>
      </c>
      <c r="H5" s="20" t="n"/>
      <c r="I5" s="32">
        <f>C9</f>
        <v/>
      </c>
      <c r="J5" s="32">
        <f>D9</f>
        <v/>
      </c>
    </row>
    <row r="6">
      <c r="B6" s="29">
        <f>Instellingen!$B$10</f>
        <v/>
      </c>
      <c r="C6" s="30" t="n"/>
      <c r="D6" s="30" t="n"/>
      <c r="E6" s="24">
        <f>D6-C6</f>
        <v/>
      </c>
      <c r="G6" s="31" t="inlineStr">
        <is>
          <t>Totaal uitgaven</t>
        </is>
      </c>
      <c r="H6" s="20" t="n"/>
      <c r="I6" s="32">
        <f>C24+C38</f>
        <v/>
      </c>
      <c r="J6" s="32">
        <f>D24+D38</f>
        <v/>
      </c>
    </row>
    <row r="7">
      <c r="B7" s="29">
        <f>Instellingen!$B$11</f>
        <v/>
      </c>
      <c r="C7" s="30" t="n"/>
      <c r="D7" s="30" t="n"/>
      <c r="E7" s="24">
        <f>D7-C7</f>
        <v/>
      </c>
      <c r="G7" s="31" t="inlineStr">
        <is>
          <t>Gespaard</t>
        </is>
      </c>
      <c r="H7" s="20" t="n"/>
      <c r="I7" s="32">
        <f>C45</f>
        <v/>
      </c>
      <c r="J7" s="32">
        <f>D45</f>
        <v/>
      </c>
    </row>
    <row r="8">
      <c r="B8" s="29">
        <f>Instellingen!$B$12</f>
        <v/>
      </c>
      <c r="C8" s="30" t="n"/>
      <c r="D8" s="30" t="n"/>
      <c r="E8" s="24">
        <f>D8-C8</f>
        <v/>
      </c>
      <c r="G8" s="26" t="inlineStr">
        <is>
          <t>Over / tekort</t>
        </is>
      </c>
      <c r="H8" s="20" t="n"/>
      <c r="I8" s="27">
        <f>I5-I6-I7</f>
        <v/>
      </c>
      <c r="J8" s="27">
        <f>J5-J6-J7</f>
        <v/>
      </c>
    </row>
    <row r="9">
      <c r="B9" s="26" t="inlineStr">
        <is>
          <t>Subtotaal</t>
        </is>
      </c>
      <c r="C9" s="27">
        <f>SUM(C5:C8)</f>
        <v/>
      </c>
      <c r="D9" s="27">
        <f>SUM(D5:D8)</f>
        <v/>
      </c>
      <c r="E9" s="27">
        <f>SUM(E5:E8)</f>
        <v/>
      </c>
    </row>
    <row r="10">
      <c r="G10" s="4" t="inlineStr">
        <is>
          <t>Uitgavenlogboek</t>
        </is>
      </c>
      <c r="I10" s="12" t="inlineStr">
        <is>
          <t>Kies een categorie uit de lijst; het bedrag telt automatisch op bij Variabele uitgaven.</t>
        </is>
      </c>
    </row>
    <row r="11">
      <c r="B11" s="17" t="inlineStr">
        <is>
          <t>B · Vaste lasten</t>
        </is>
      </c>
      <c r="C11" s="23" t="inlineStr">
        <is>
          <t>Begroot</t>
        </is>
      </c>
      <c r="D11" s="23" t="inlineStr">
        <is>
          <t>Werkelijk</t>
        </is>
      </c>
      <c r="E11" s="23" t="inlineStr">
        <is>
          <t>Verschil</t>
        </is>
      </c>
      <c r="G11" s="17" t="inlineStr">
        <is>
          <t>Datum</t>
        </is>
      </c>
      <c r="H11" s="23" t="inlineStr">
        <is>
          <t>Omschrijving</t>
        </is>
      </c>
      <c r="I11" s="23" t="inlineStr">
        <is>
          <t>Categorie</t>
        </is>
      </c>
      <c r="J11" s="23" t="inlineStr">
        <is>
          <t>Bedrag</t>
        </is>
      </c>
    </row>
    <row r="12">
      <c r="B12" s="29">
        <f>Instellingen!$D$9</f>
        <v/>
      </c>
      <c r="C12" s="30" t="n"/>
      <c r="D12" s="30" t="n"/>
      <c r="E12" s="24">
        <f>C12-D12</f>
        <v/>
      </c>
      <c r="G12" s="33" t="n"/>
      <c r="H12" s="14" t="n"/>
      <c r="I12" s="14" t="n"/>
      <c r="J12" s="30" t="n"/>
    </row>
    <row r="13">
      <c r="B13" s="29">
        <f>Instellingen!$D$10</f>
        <v/>
      </c>
      <c r="C13" s="30" t="n"/>
      <c r="D13" s="30" t="n"/>
      <c r="E13" s="24">
        <f>C13-D13</f>
        <v/>
      </c>
      <c r="G13" s="33" t="n"/>
      <c r="H13" s="14" t="n"/>
      <c r="I13" s="14" t="n"/>
      <c r="J13" s="30" t="n"/>
    </row>
    <row r="14">
      <c r="B14" s="29">
        <f>Instellingen!$D$11</f>
        <v/>
      </c>
      <c r="C14" s="30" t="n"/>
      <c r="D14" s="30" t="n"/>
      <c r="E14" s="24">
        <f>C14-D14</f>
        <v/>
      </c>
      <c r="G14" s="33" t="n"/>
      <c r="H14" s="14" t="n"/>
      <c r="I14" s="14" t="n"/>
      <c r="J14" s="30" t="n"/>
    </row>
    <row r="15">
      <c r="B15" s="29">
        <f>Instellingen!$D$12</f>
        <v/>
      </c>
      <c r="C15" s="30" t="n"/>
      <c r="D15" s="30" t="n"/>
      <c r="E15" s="24">
        <f>C15-D15</f>
        <v/>
      </c>
      <c r="G15" s="33" t="n"/>
      <c r="H15" s="14" t="n"/>
      <c r="I15" s="14" t="n"/>
      <c r="J15" s="30" t="n"/>
    </row>
    <row r="16">
      <c r="B16" s="29">
        <f>Instellingen!$D$13</f>
        <v/>
      </c>
      <c r="C16" s="30" t="n"/>
      <c r="D16" s="30" t="n"/>
      <c r="E16" s="24">
        <f>C16-D16</f>
        <v/>
      </c>
      <c r="G16" s="33" t="n"/>
      <c r="H16" s="14" t="n"/>
      <c r="I16" s="14" t="n"/>
      <c r="J16" s="30" t="n"/>
    </row>
    <row r="17">
      <c r="B17" s="29">
        <f>Instellingen!$D$14</f>
        <v/>
      </c>
      <c r="C17" s="30" t="n"/>
      <c r="D17" s="30" t="n"/>
      <c r="E17" s="24">
        <f>C17-D17</f>
        <v/>
      </c>
      <c r="G17" s="33" t="n"/>
      <c r="H17" s="14" t="n"/>
      <c r="I17" s="14" t="n"/>
      <c r="J17" s="30" t="n"/>
    </row>
    <row r="18">
      <c r="B18" s="29">
        <f>Instellingen!$D$15</f>
        <v/>
      </c>
      <c r="C18" s="30" t="n"/>
      <c r="D18" s="30" t="n"/>
      <c r="E18" s="24">
        <f>C18-D18</f>
        <v/>
      </c>
      <c r="G18" s="33" t="n"/>
      <c r="H18" s="14" t="n"/>
      <c r="I18" s="14" t="n"/>
      <c r="J18" s="30" t="n"/>
    </row>
    <row r="19">
      <c r="B19" s="29">
        <f>Instellingen!$D$16</f>
        <v/>
      </c>
      <c r="C19" s="30" t="n"/>
      <c r="D19" s="30" t="n"/>
      <c r="E19" s="24">
        <f>C19-D19</f>
        <v/>
      </c>
      <c r="G19" s="33" t="n"/>
      <c r="H19" s="14" t="n"/>
      <c r="I19" s="14" t="n"/>
      <c r="J19" s="30" t="n"/>
    </row>
    <row r="20">
      <c r="B20" s="29">
        <f>Instellingen!$D$17</f>
        <v/>
      </c>
      <c r="C20" s="30" t="n"/>
      <c r="D20" s="30" t="n"/>
      <c r="E20" s="24">
        <f>C20-D20</f>
        <v/>
      </c>
      <c r="G20" s="33" t="n"/>
      <c r="H20" s="14" t="n"/>
      <c r="I20" s="14" t="n"/>
      <c r="J20" s="30" t="n"/>
    </row>
    <row r="21">
      <c r="B21" s="29">
        <f>Instellingen!$D$18</f>
        <v/>
      </c>
      <c r="C21" s="30" t="n"/>
      <c r="D21" s="30" t="n"/>
      <c r="E21" s="24">
        <f>C21-D21</f>
        <v/>
      </c>
      <c r="G21" s="33" t="n"/>
      <c r="H21" s="14" t="n"/>
      <c r="I21" s="14" t="n"/>
      <c r="J21" s="30" t="n"/>
    </row>
    <row r="22">
      <c r="B22" s="29">
        <f>Instellingen!$D$19</f>
        <v/>
      </c>
      <c r="C22" s="30" t="n"/>
      <c r="D22" s="30" t="n"/>
      <c r="E22" s="24">
        <f>C22-D22</f>
        <v/>
      </c>
      <c r="G22" s="33" t="n"/>
      <c r="H22" s="14" t="n"/>
      <c r="I22" s="14" t="n"/>
      <c r="J22" s="30" t="n"/>
    </row>
    <row r="23">
      <c r="B23" s="29">
        <f>Instellingen!$D$20</f>
        <v/>
      </c>
      <c r="C23" s="30" t="n"/>
      <c r="D23" s="30" t="n"/>
      <c r="E23" s="24">
        <f>C23-D23</f>
        <v/>
      </c>
      <c r="G23" s="33" t="n"/>
      <c r="H23" s="14" t="n"/>
      <c r="I23" s="14" t="n"/>
      <c r="J23" s="30" t="n"/>
    </row>
    <row r="24">
      <c r="B24" s="26" t="inlineStr">
        <is>
          <t>Subtotaal</t>
        </is>
      </c>
      <c r="C24" s="27">
        <f>SUM(C12:C23)</f>
        <v/>
      </c>
      <c r="D24" s="27">
        <f>SUM(D12:D23)</f>
        <v/>
      </c>
      <c r="E24" s="27">
        <f>SUM(E12:E23)</f>
        <v/>
      </c>
      <c r="G24" s="33" t="n"/>
      <c r="H24" s="14" t="n"/>
      <c r="I24" s="14" t="n"/>
      <c r="J24" s="30" t="n"/>
    </row>
    <row r="25">
      <c r="G25" s="33" t="n"/>
      <c r="H25" s="14" t="n"/>
      <c r="I25" s="14" t="n"/>
      <c r="J25" s="30" t="n"/>
    </row>
    <row r="26">
      <c r="B26" s="17" t="inlineStr">
        <is>
          <t>C · Variabele uitgaven</t>
        </is>
      </c>
      <c r="C26" s="23" t="inlineStr">
        <is>
          <t>Begroot</t>
        </is>
      </c>
      <c r="D26" s="23" t="inlineStr">
        <is>
          <t>Werkelijk</t>
        </is>
      </c>
      <c r="E26" s="23" t="inlineStr">
        <is>
          <t>Verschil</t>
        </is>
      </c>
      <c r="G26" s="33" t="n"/>
      <c r="H26" s="14" t="n"/>
      <c r="I26" s="14" t="n"/>
      <c r="J26" s="30" t="n"/>
    </row>
    <row r="27">
      <c r="B27" s="29">
        <f>Instellingen!$F$9</f>
        <v/>
      </c>
      <c r="C27" s="30" t="n"/>
      <c r="D27" s="24">
        <f>SUMIF($I$12:$I$51,B27,$J$12:$J$51)</f>
        <v/>
      </c>
      <c r="E27" s="24">
        <f>C27-D27</f>
        <v/>
      </c>
      <c r="G27" s="33" t="n"/>
      <c r="H27" s="14" t="n"/>
      <c r="I27" s="14" t="n"/>
      <c r="J27" s="30" t="n"/>
    </row>
    <row r="28">
      <c r="B28" s="29">
        <f>Instellingen!$F$10</f>
        <v/>
      </c>
      <c r="C28" s="30" t="n"/>
      <c r="D28" s="24">
        <f>SUMIF($I$12:$I$51,B28,$J$12:$J$51)</f>
        <v/>
      </c>
      <c r="E28" s="24">
        <f>C28-D28</f>
        <v/>
      </c>
      <c r="G28" s="33" t="n"/>
      <c r="H28" s="14" t="n"/>
      <c r="I28" s="14" t="n"/>
      <c r="J28" s="30" t="n"/>
    </row>
    <row r="29">
      <c r="B29" s="29">
        <f>Instellingen!$F$11</f>
        <v/>
      </c>
      <c r="C29" s="30" t="n"/>
      <c r="D29" s="24">
        <f>SUMIF($I$12:$I$51,B29,$J$12:$J$51)</f>
        <v/>
      </c>
      <c r="E29" s="24">
        <f>C29-D29</f>
        <v/>
      </c>
      <c r="G29" s="33" t="n"/>
      <c r="H29" s="14" t="n"/>
      <c r="I29" s="14" t="n"/>
      <c r="J29" s="30" t="n"/>
    </row>
    <row r="30">
      <c r="B30" s="29">
        <f>Instellingen!$F$12</f>
        <v/>
      </c>
      <c r="C30" s="30" t="n"/>
      <c r="D30" s="24">
        <f>SUMIF($I$12:$I$51,B30,$J$12:$J$51)</f>
        <v/>
      </c>
      <c r="E30" s="24">
        <f>C30-D30</f>
        <v/>
      </c>
      <c r="G30" s="33" t="n"/>
      <c r="H30" s="14" t="n"/>
      <c r="I30" s="14" t="n"/>
      <c r="J30" s="30" t="n"/>
    </row>
    <row r="31">
      <c r="B31" s="29">
        <f>Instellingen!$F$13</f>
        <v/>
      </c>
      <c r="C31" s="30" t="n"/>
      <c r="D31" s="24">
        <f>SUMIF($I$12:$I$51,B31,$J$12:$J$51)</f>
        <v/>
      </c>
      <c r="E31" s="24">
        <f>C31-D31</f>
        <v/>
      </c>
      <c r="G31" s="33" t="n"/>
      <c r="H31" s="14" t="n"/>
      <c r="I31" s="14" t="n"/>
      <c r="J31" s="30" t="n"/>
    </row>
    <row r="32">
      <c r="B32" s="29">
        <f>Instellingen!$F$14</f>
        <v/>
      </c>
      <c r="C32" s="30" t="n"/>
      <c r="D32" s="24">
        <f>SUMIF($I$12:$I$51,B32,$J$12:$J$51)</f>
        <v/>
      </c>
      <c r="E32" s="24">
        <f>C32-D32</f>
        <v/>
      </c>
      <c r="G32" s="33" t="n"/>
      <c r="H32" s="14" t="n"/>
      <c r="I32" s="14" t="n"/>
      <c r="J32" s="30" t="n"/>
    </row>
    <row r="33">
      <c r="B33" s="29">
        <f>Instellingen!$F$15</f>
        <v/>
      </c>
      <c r="C33" s="30" t="n"/>
      <c r="D33" s="24">
        <f>SUMIF($I$12:$I$51,B33,$J$12:$J$51)</f>
        <v/>
      </c>
      <c r="E33" s="24">
        <f>C33-D33</f>
        <v/>
      </c>
      <c r="G33" s="33" t="n"/>
      <c r="H33" s="14" t="n"/>
      <c r="I33" s="14" t="n"/>
      <c r="J33" s="30" t="n"/>
    </row>
    <row r="34">
      <c r="B34" s="29">
        <f>Instellingen!$F$16</f>
        <v/>
      </c>
      <c r="C34" s="30" t="n"/>
      <c r="D34" s="24">
        <f>SUMIF($I$12:$I$51,B34,$J$12:$J$51)</f>
        <v/>
      </c>
      <c r="E34" s="24">
        <f>C34-D34</f>
        <v/>
      </c>
      <c r="G34" s="33" t="n"/>
      <c r="H34" s="14" t="n"/>
      <c r="I34" s="14" t="n"/>
      <c r="J34" s="30" t="n"/>
    </row>
    <row r="35">
      <c r="B35" s="29">
        <f>Instellingen!$F$17</f>
        <v/>
      </c>
      <c r="C35" s="30" t="n"/>
      <c r="D35" s="24">
        <f>SUMIF($I$12:$I$51,B35,$J$12:$J$51)</f>
        <v/>
      </c>
      <c r="E35" s="24">
        <f>C35-D35</f>
        <v/>
      </c>
      <c r="G35" s="33" t="n"/>
      <c r="H35" s="14" t="n"/>
      <c r="I35" s="14" t="n"/>
      <c r="J35" s="30" t="n"/>
    </row>
    <row r="36">
      <c r="B36" s="29">
        <f>Instellingen!$F$18</f>
        <v/>
      </c>
      <c r="C36" s="30" t="n"/>
      <c r="D36" s="24">
        <f>SUMIF($I$12:$I$51,B36,$J$12:$J$51)</f>
        <v/>
      </c>
      <c r="E36" s="24">
        <f>C36-D36</f>
        <v/>
      </c>
      <c r="G36" s="33" t="n"/>
      <c r="H36" s="14" t="n"/>
      <c r="I36" s="14" t="n"/>
      <c r="J36" s="30" t="n"/>
    </row>
    <row r="37">
      <c r="B37" s="29">
        <f>Instellingen!$F$19</f>
        <v/>
      </c>
      <c r="C37" s="30" t="n"/>
      <c r="D37" s="24">
        <f>SUMIF($I$12:$I$51,B37,$J$12:$J$51)</f>
        <v/>
      </c>
      <c r="E37" s="24">
        <f>C37-D37</f>
        <v/>
      </c>
      <c r="G37" s="33" t="n"/>
      <c r="H37" s="14" t="n"/>
      <c r="I37" s="14" t="n"/>
      <c r="J37" s="30" t="n"/>
    </row>
    <row r="38">
      <c r="B38" s="26" t="inlineStr">
        <is>
          <t>Subtotaal</t>
        </is>
      </c>
      <c r="C38" s="27">
        <f>SUM(C27:C37)</f>
        <v/>
      </c>
      <c r="D38" s="27">
        <f>SUM(D27:D37)</f>
        <v/>
      </c>
      <c r="E38" s="27">
        <f>SUM(E27:E37)</f>
        <v/>
      </c>
      <c r="G38" s="33" t="n"/>
      <c r="H38" s="14" t="n"/>
      <c r="I38" s="14" t="n"/>
      <c r="J38" s="30" t="n"/>
    </row>
    <row r="39">
      <c r="G39" s="33" t="n"/>
      <c r="H39" s="14" t="n"/>
      <c r="I39" s="14" t="n"/>
      <c r="J39" s="30" t="n"/>
    </row>
    <row r="40">
      <c r="B40" s="17" t="inlineStr">
        <is>
          <t>D · Sparen</t>
        </is>
      </c>
      <c r="C40" s="23" t="inlineStr">
        <is>
          <t>Begroot</t>
        </is>
      </c>
      <c r="D40" s="23" t="inlineStr">
        <is>
          <t>Werkelijk</t>
        </is>
      </c>
      <c r="E40" s="23" t="inlineStr">
        <is>
          <t>Verschil</t>
        </is>
      </c>
      <c r="G40" s="33" t="n"/>
      <c r="H40" s="14" t="n"/>
      <c r="I40" s="14" t="n"/>
      <c r="J40" s="30" t="n"/>
    </row>
    <row r="41">
      <c r="B41" s="29">
        <f>Instellingen!$H$9</f>
        <v/>
      </c>
      <c r="C41" s="30" t="n"/>
      <c r="D41" s="30" t="n"/>
      <c r="E41" s="24">
        <f>D41-C41</f>
        <v/>
      </c>
      <c r="G41" s="33" t="n"/>
      <c r="H41" s="14" t="n"/>
      <c r="I41" s="14" t="n"/>
      <c r="J41" s="30" t="n"/>
    </row>
    <row r="42">
      <c r="B42" s="29">
        <f>Instellingen!$H$10</f>
        <v/>
      </c>
      <c r="C42" s="30" t="n"/>
      <c r="D42" s="30" t="n"/>
      <c r="E42" s="24">
        <f>D42-C42</f>
        <v/>
      </c>
      <c r="G42" s="33" t="n"/>
      <c r="H42" s="14" t="n"/>
      <c r="I42" s="14" t="n"/>
      <c r="J42" s="30" t="n"/>
    </row>
    <row r="43">
      <c r="B43" s="29">
        <f>Instellingen!$H$11</f>
        <v/>
      </c>
      <c r="C43" s="30" t="n"/>
      <c r="D43" s="30" t="n"/>
      <c r="E43" s="24">
        <f>D43-C43</f>
        <v/>
      </c>
      <c r="G43" s="33" t="n"/>
      <c r="H43" s="14" t="n"/>
      <c r="I43" s="14" t="n"/>
      <c r="J43" s="30" t="n"/>
    </row>
    <row r="44">
      <c r="B44" s="29">
        <f>Instellingen!$H$12</f>
        <v/>
      </c>
      <c r="C44" s="30" t="n"/>
      <c r="D44" s="30" t="n"/>
      <c r="E44" s="24">
        <f>D44-C44</f>
        <v/>
      </c>
      <c r="G44" s="33" t="n"/>
      <c r="H44" s="14" t="n"/>
      <c r="I44" s="14" t="n"/>
      <c r="J44" s="30" t="n"/>
    </row>
    <row r="45">
      <c r="B45" s="26" t="inlineStr">
        <is>
          <t>Subtotaal</t>
        </is>
      </c>
      <c r="C45" s="27">
        <f>SUM(C41:C44)</f>
        <v/>
      </c>
      <c r="D45" s="27">
        <f>SUM(D41:D44)</f>
        <v/>
      </c>
      <c r="E45" s="27">
        <f>SUM(E41:E44)</f>
        <v/>
      </c>
      <c r="G45" s="33" t="n"/>
      <c r="H45" s="14" t="n"/>
      <c r="I45" s="14" t="n"/>
      <c r="J45" s="30" t="n"/>
    </row>
    <row r="46">
      <c r="B46" s="12" t="inlineStr">
        <is>
          <t>Werkelijk bij variabele uitgaven wordt automatisch gevuld vanuit het Uitgavenlogboek.</t>
        </is>
      </c>
      <c r="G46" s="33" t="n"/>
      <c r="H46" s="14" t="n"/>
      <c r="I46" s="14" t="n"/>
      <c r="J46" s="30" t="n"/>
    </row>
    <row r="47">
      <c r="G47" s="33" t="n"/>
      <c r="H47" s="14" t="n"/>
      <c r="I47" s="14" t="n"/>
      <c r="J47" s="30" t="n"/>
    </row>
    <row r="48">
      <c r="G48" s="33" t="n"/>
      <c r="H48" s="14" t="n"/>
      <c r="I48" s="14" t="n"/>
      <c r="J48" s="30" t="n"/>
    </row>
    <row r="49">
      <c r="G49" s="33" t="n"/>
      <c r="H49" s="14" t="n"/>
      <c r="I49" s="14" t="n"/>
      <c r="J49" s="30" t="n"/>
    </row>
    <row r="50">
      <c r="G50" s="33" t="n"/>
      <c r="H50" s="14" t="n"/>
      <c r="I50" s="14" t="n"/>
      <c r="J50" s="30" t="n"/>
    </row>
    <row r="51">
      <c r="G51" s="33" t="n"/>
      <c r="H51" s="14" t="n"/>
      <c r="I51" s="14" t="n"/>
      <c r="J51" s="30" t="n"/>
    </row>
    <row r="52">
      <c r="G52" s="26" t="inlineStr">
        <is>
          <t>Totaal logboek</t>
        </is>
      </c>
      <c r="H52" s="34" t="n"/>
      <c r="I52" s="20" t="n"/>
      <c r="J52" s="27">
        <f>SUM(J12:J51)</f>
        <v/>
      </c>
    </row>
  </sheetData>
  <mergeCells count="6">
    <mergeCell ref="G4:H4"/>
    <mergeCell ref="G7:H7"/>
    <mergeCell ref="G5:H5"/>
    <mergeCell ref="G6:H6"/>
    <mergeCell ref="G8:H8"/>
    <mergeCell ref="G52:I52"/>
  </mergeCells>
  <conditionalFormatting sqref="E5:E9">
    <cfRule type="cellIs" priority="1" operator="lessThan" dxfId="0">
      <formula>0</formula>
    </cfRule>
  </conditionalFormatting>
  <conditionalFormatting sqref="E12:E24">
    <cfRule type="cellIs" priority="2" operator="lessThan" dxfId="0">
      <formula>0</formula>
    </cfRule>
  </conditionalFormatting>
  <conditionalFormatting sqref="E27:E38">
    <cfRule type="cellIs" priority="3" operator="lessThan" dxfId="0">
      <formula>0</formula>
    </cfRule>
  </conditionalFormatting>
  <conditionalFormatting sqref="E41:E45">
    <cfRule type="cellIs" priority="4" operator="lessThan" dxfId="0">
      <formula>0</formula>
    </cfRule>
  </conditionalFormatting>
  <conditionalFormatting sqref="I8:J8">
    <cfRule type="cellIs" priority="5" operator="lessThan" dxfId="0">
      <formula>0</formula>
    </cfRule>
  </conditionalFormatting>
  <dataValidations count="1">
    <dataValidation sqref="I12:I51" showDropDown="0" showInputMessage="0" showErrorMessage="1" allowBlank="1" errorTitle="Onbekende categorie" error="Kies een categorie uit de lijst (aanpassen kan op het tabblad Instellingen)." type="list">
      <formula1>=Instellingen!$F$9:$F$19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F7A61"/>
    <outlinePr summaryBelow="1" summaryRight="1"/>
    <pageSetUpPr/>
  </sheetPr>
  <dimension ref="B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3" customWidth="1" min="6" max="6"/>
    <col width="14" customWidth="1" min="7" max="7"/>
    <col width="32" customWidth="1" min="8" max="8"/>
    <col width="26" customWidth="1" min="9" max="9"/>
    <col width="14" customWidth="1" min="10" max="10"/>
  </cols>
  <sheetData>
    <row r="1">
      <c r="B1" s="1" t="inlineStr">
        <is>
          <t>Plannerij</t>
        </is>
      </c>
    </row>
    <row r="2" ht="30" customHeight="1">
      <c r="B2" s="2" t="inlineStr">
        <is>
          <t>Juli</t>
        </is>
      </c>
    </row>
    <row r="3">
      <c r="B3" s="3">
        <f>IF(Instellingen!$C$5="","",Instellingen!$C$5)</f>
        <v/>
      </c>
    </row>
    <row r="4">
      <c r="B4" s="17" t="inlineStr">
        <is>
          <t>A · Inkomen</t>
        </is>
      </c>
      <c r="C4" s="23" t="inlineStr">
        <is>
          <t>Begroot</t>
        </is>
      </c>
      <c r="D4" s="23" t="inlineStr">
        <is>
          <t>Werkelijk</t>
        </is>
      </c>
      <c r="E4" s="23" t="inlineStr">
        <is>
          <t>Verschil</t>
        </is>
      </c>
      <c r="G4" s="17" t="inlineStr">
        <is>
          <t>Samenvatting</t>
        </is>
      </c>
      <c r="H4" s="20" t="n"/>
      <c r="I4" s="23" t="inlineStr">
        <is>
          <t>Begroot</t>
        </is>
      </c>
      <c r="J4" s="23" t="inlineStr">
        <is>
          <t>Werkelijk</t>
        </is>
      </c>
    </row>
    <row r="5">
      <c r="B5" s="29">
        <f>Instellingen!$B$9</f>
        <v/>
      </c>
      <c r="C5" s="30" t="n"/>
      <c r="D5" s="30" t="n"/>
      <c r="E5" s="24">
        <f>D5-C5</f>
        <v/>
      </c>
      <c r="G5" s="31" t="inlineStr">
        <is>
          <t>Totaal inkomen</t>
        </is>
      </c>
      <c r="H5" s="20" t="n"/>
      <c r="I5" s="32">
        <f>C9</f>
        <v/>
      </c>
      <c r="J5" s="32">
        <f>D9</f>
        <v/>
      </c>
    </row>
    <row r="6">
      <c r="B6" s="29">
        <f>Instellingen!$B$10</f>
        <v/>
      </c>
      <c r="C6" s="30" t="n"/>
      <c r="D6" s="30" t="n"/>
      <c r="E6" s="24">
        <f>D6-C6</f>
        <v/>
      </c>
      <c r="G6" s="31" t="inlineStr">
        <is>
          <t>Totaal uitgaven</t>
        </is>
      </c>
      <c r="H6" s="20" t="n"/>
      <c r="I6" s="32">
        <f>C24+C38</f>
        <v/>
      </c>
      <c r="J6" s="32">
        <f>D24+D38</f>
        <v/>
      </c>
    </row>
    <row r="7">
      <c r="B7" s="29">
        <f>Instellingen!$B$11</f>
        <v/>
      </c>
      <c r="C7" s="30" t="n"/>
      <c r="D7" s="30" t="n"/>
      <c r="E7" s="24">
        <f>D7-C7</f>
        <v/>
      </c>
      <c r="G7" s="31" t="inlineStr">
        <is>
          <t>Gespaard</t>
        </is>
      </c>
      <c r="H7" s="20" t="n"/>
      <c r="I7" s="32">
        <f>C45</f>
        <v/>
      </c>
      <c r="J7" s="32">
        <f>D45</f>
        <v/>
      </c>
    </row>
    <row r="8">
      <c r="B8" s="29">
        <f>Instellingen!$B$12</f>
        <v/>
      </c>
      <c r="C8" s="30" t="n"/>
      <c r="D8" s="30" t="n"/>
      <c r="E8" s="24">
        <f>D8-C8</f>
        <v/>
      </c>
      <c r="G8" s="26" t="inlineStr">
        <is>
          <t>Over / tekort</t>
        </is>
      </c>
      <c r="H8" s="20" t="n"/>
      <c r="I8" s="27">
        <f>I5-I6-I7</f>
        <v/>
      </c>
      <c r="J8" s="27">
        <f>J5-J6-J7</f>
        <v/>
      </c>
    </row>
    <row r="9">
      <c r="B9" s="26" t="inlineStr">
        <is>
          <t>Subtotaal</t>
        </is>
      </c>
      <c r="C9" s="27">
        <f>SUM(C5:C8)</f>
        <v/>
      </c>
      <c r="D9" s="27">
        <f>SUM(D5:D8)</f>
        <v/>
      </c>
      <c r="E9" s="27">
        <f>SUM(E5:E8)</f>
        <v/>
      </c>
    </row>
    <row r="10">
      <c r="G10" s="4" t="inlineStr">
        <is>
          <t>Uitgavenlogboek</t>
        </is>
      </c>
      <c r="I10" s="12" t="inlineStr">
        <is>
          <t>Kies een categorie uit de lijst; het bedrag telt automatisch op bij Variabele uitgaven.</t>
        </is>
      </c>
    </row>
    <row r="11">
      <c r="B11" s="17" t="inlineStr">
        <is>
          <t>B · Vaste lasten</t>
        </is>
      </c>
      <c r="C11" s="23" t="inlineStr">
        <is>
          <t>Begroot</t>
        </is>
      </c>
      <c r="D11" s="23" t="inlineStr">
        <is>
          <t>Werkelijk</t>
        </is>
      </c>
      <c r="E11" s="23" t="inlineStr">
        <is>
          <t>Verschil</t>
        </is>
      </c>
      <c r="G11" s="17" t="inlineStr">
        <is>
          <t>Datum</t>
        </is>
      </c>
      <c r="H11" s="23" t="inlineStr">
        <is>
          <t>Omschrijving</t>
        </is>
      </c>
      <c r="I11" s="23" t="inlineStr">
        <is>
          <t>Categorie</t>
        </is>
      </c>
      <c r="J11" s="23" t="inlineStr">
        <is>
          <t>Bedrag</t>
        </is>
      </c>
    </row>
    <row r="12">
      <c r="B12" s="29">
        <f>Instellingen!$D$9</f>
        <v/>
      </c>
      <c r="C12" s="30" t="n"/>
      <c r="D12" s="30" t="n"/>
      <c r="E12" s="24">
        <f>C12-D12</f>
        <v/>
      </c>
      <c r="G12" s="33" t="n"/>
      <c r="H12" s="14" t="n"/>
      <c r="I12" s="14" t="n"/>
      <c r="J12" s="30" t="n"/>
    </row>
    <row r="13">
      <c r="B13" s="29">
        <f>Instellingen!$D$10</f>
        <v/>
      </c>
      <c r="C13" s="30" t="n"/>
      <c r="D13" s="30" t="n"/>
      <c r="E13" s="24">
        <f>C13-D13</f>
        <v/>
      </c>
      <c r="G13" s="33" t="n"/>
      <c r="H13" s="14" t="n"/>
      <c r="I13" s="14" t="n"/>
      <c r="J13" s="30" t="n"/>
    </row>
    <row r="14">
      <c r="B14" s="29">
        <f>Instellingen!$D$11</f>
        <v/>
      </c>
      <c r="C14" s="30" t="n"/>
      <c r="D14" s="30" t="n"/>
      <c r="E14" s="24">
        <f>C14-D14</f>
        <v/>
      </c>
      <c r="G14" s="33" t="n"/>
      <c r="H14" s="14" t="n"/>
      <c r="I14" s="14" t="n"/>
      <c r="J14" s="30" t="n"/>
    </row>
    <row r="15">
      <c r="B15" s="29">
        <f>Instellingen!$D$12</f>
        <v/>
      </c>
      <c r="C15" s="30" t="n"/>
      <c r="D15" s="30" t="n"/>
      <c r="E15" s="24">
        <f>C15-D15</f>
        <v/>
      </c>
      <c r="G15" s="33" t="n"/>
      <c r="H15" s="14" t="n"/>
      <c r="I15" s="14" t="n"/>
      <c r="J15" s="30" t="n"/>
    </row>
    <row r="16">
      <c r="B16" s="29">
        <f>Instellingen!$D$13</f>
        <v/>
      </c>
      <c r="C16" s="30" t="n"/>
      <c r="D16" s="30" t="n"/>
      <c r="E16" s="24">
        <f>C16-D16</f>
        <v/>
      </c>
      <c r="G16" s="33" t="n"/>
      <c r="H16" s="14" t="n"/>
      <c r="I16" s="14" t="n"/>
      <c r="J16" s="30" t="n"/>
    </row>
    <row r="17">
      <c r="B17" s="29">
        <f>Instellingen!$D$14</f>
        <v/>
      </c>
      <c r="C17" s="30" t="n"/>
      <c r="D17" s="30" t="n"/>
      <c r="E17" s="24">
        <f>C17-D17</f>
        <v/>
      </c>
      <c r="G17" s="33" t="n"/>
      <c r="H17" s="14" t="n"/>
      <c r="I17" s="14" t="n"/>
      <c r="J17" s="30" t="n"/>
    </row>
    <row r="18">
      <c r="B18" s="29">
        <f>Instellingen!$D$15</f>
        <v/>
      </c>
      <c r="C18" s="30" t="n"/>
      <c r="D18" s="30" t="n"/>
      <c r="E18" s="24">
        <f>C18-D18</f>
        <v/>
      </c>
      <c r="G18" s="33" t="n"/>
      <c r="H18" s="14" t="n"/>
      <c r="I18" s="14" t="n"/>
      <c r="J18" s="30" t="n"/>
    </row>
    <row r="19">
      <c r="B19" s="29">
        <f>Instellingen!$D$16</f>
        <v/>
      </c>
      <c r="C19" s="30" t="n"/>
      <c r="D19" s="30" t="n"/>
      <c r="E19" s="24">
        <f>C19-D19</f>
        <v/>
      </c>
      <c r="G19" s="33" t="n"/>
      <c r="H19" s="14" t="n"/>
      <c r="I19" s="14" t="n"/>
      <c r="J19" s="30" t="n"/>
    </row>
    <row r="20">
      <c r="B20" s="29">
        <f>Instellingen!$D$17</f>
        <v/>
      </c>
      <c r="C20" s="30" t="n"/>
      <c r="D20" s="30" t="n"/>
      <c r="E20" s="24">
        <f>C20-D20</f>
        <v/>
      </c>
      <c r="G20" s="33" t="n"/>
      <c r="H20" s="14" t="n"/>
      <c r="I20" s="14" t="n"/>
      <c r="J20" s="30" t="n"/>
    </row>
    <row r="21">
      <c r="B21" s="29">
        <f>Instellingen!$D$18</f>
        <v/>
      </c>
      <c r="C21" s="30" t="n"/>
      <c r="D21" s="30" t="n"/>
      <c r="E21" s="24">
        <f>C21-D21</f>
        <v/>
      </c>
      <c r="G21" s="33" t="n"/>
      <c r="H21" s="14" t="n"/>
      <c r="I21" s="14" t="n"/>
      <c r="J21" s="30" t="n"/>
    </row>
    <row r="22">
      <c r="B22" s="29">
        <f>Instellingen!$D$19</f>
        <v/>
      </c>
      <c r="C22" s="30" t="n"/>
      <c r="D22" s="30" t="n"/>
      <c r="E22" s="24">
        <f>C22-D22</f>
        <v/>
      </c>
      <c r="G22" s="33" t="n"/>
      <c r="H22" s="14" t="n"/>
      <c r="I22" s="14" t="n"/>
      <c r="J22" s="30" t="n"/>
    </row>
    <row r="23">
      <c r="B23" s="29">
        <f>Instellingen!$D$20</f>
        <v/>
      </c>
      <c r="C23" s="30" t="n"/>
      <c r="D23" s="30" t="n"/>
      <c r="E23" s="24">
        <f>C23-D23</f>
        <v/>
      </c>
      <c r="G23" s="33" t="n"/>
      <c r="H23" s="14" t="n"/>
      <c r="I23" s="14" t="n"/>
      <c r="J23" s="30" t="n"/>
    </row>
    <row r="24">
      <c r="B24" s="26" t="inlineStr">
        <is>
          <t>Subtotaal</t>
        </is>
      </c>
      <c r="C24" s="27">
        <f>SUM(C12:C23)</f>
        <v/>
      </c>
      <c r="D24" s="27">
        <f>SUM(D12:D23)</f>
        <v/>
      </c>
      <c r="E24" s="27">
        <f>SUM(E12:E23)</f>
        <v/>
      </c>
      <c r="G24" s="33" t="n"/>
      <c r="H24" s="14" t="n"/>
      <c r="I24" s="14" t="n"/>
      <c r="J24" s="30" t="n"/>
    </row>
    <row r="25">
      <c r="G25" s="33" t="n"/>
      <c r="H25" s="14" t="n"/>
      <c r="I25" s="14" t="n"/>
      <c r="J25" s="30" t="n"/>
    </row>
    <row r="26">
      <c r="B26" s="17" t="inlineStr">
        <is>
          <t>C · Variabele uitgaven</t>
        </is>
      </c>
      <c r="C26" s="23" t="inlineStr">
        <is>
          <t>Begroot</t>
        </is>
      </c>
      <c r="D26" s="23" t="inlineStr">
        <is>
          <t>Werkelijk</t>
        </is>
      </c>
      <c r="E26" s="23" t="inlineStr">
        <is>
          <t>Verschil</t>
        </is>
      </c>
      <c r="G26" s="33" t="n"/>
      <c r="H26" s="14" t="n"/>
      <c r="I26" s="14" t="n"/>
      <c r="J26" s="30" t="n"/>
    </row>
    <row r="27">
      <c r="B27" s="29">
        <f>Instellingen!$F$9</f>
        <v/>
      </c>
      <c r="C27" s="30" t="n"/>
      <c r="D27" s="24">
        <f>SUMIF($I$12:$I$51,B27,$J$12:$J$51)</f>
        <v/>
      </c>
      <c r="E27" s="24">
        <f>C27-D27</f>
        <v/>
      </c>
      <c r="G27" s="33" t="n"/>
      <c r="H27" s="14" t="n"/>
      <c r="I27" s="14" t="n"/>
      <c r="J27" s="30" t="n"/>
    </row>
    <row r="28">
      <c r="B28" s="29">
        <f>Instellingen!$F$10</f>
        <v/>
      </c>
      <c r="C28" s="30" t="n"/>
      <c r="D28" s="24">
        <f>SUMIF($I$12:$I$51,B28,$J$12:$J$51)</f>
        <v/>
      </c>
      <c r="E28" s="24">
        <f>C28-D28</f>
        <v/>
      </c>
      <c r="G28" s="33" t="n"/>
      <c r="H28" s="14" t="n"/>
      <c r="I28" s="14" t="n"/>
      <c r="J28" s="30" t="n"/>
    </row>
    <row r="29">
      <c r="B29" s="29">
        <f>Instellingen!$F$11</f>
        <v/>
      </c>
      <c r="C29" s="30" t="n"/>
      <c r="D29" s="24">
        <f>SUMIF($I$12:$I$51,B29,$J$12:$J$51)</f>
        <v/>
      </c>
      <c r="E29" s="24">
        <f>C29-D29</f>
        <v/>
      </c>
      <c r="G29" s="33" t="n"/>
      <c r="H29" s="14" t="n"/>
      <c r="I29" s="14" t="n"/>
      <c r="J29" s="30" t="n"/>
    </row>
    <row r="30">
      <c r="B30" s="29">
        <f>Instellingen!$F$12</f>
        <v/>
      </c>
      <c r="C30" s="30" t="n"/>
      <c r="D30" s="24">
        <f>SUMIF($I$12:$I$51,B30,$J$12:$J$51)</f>
        <v/>
      </c>
      <c r="E30" s="24">
        <f>C30-D30</f>
        <v/>
      </c>
      <c r="G30" s="33" t="n"/>
      <c r="H30" s="14" t="n"/>
      <c r="I30" s="14" t="n"/>
      <c r="J30" s="30" t="n"/>
    </row>
    <row r="31">
      <c r="B31" s="29">
        <f>Instellingen!$F$13</f>
        <v/>
      </c>
      <c r="C31" s="30" t="n"/>
      <c r="D31" s="24">
        <f>SUMIF($I$12:$I$51,B31,$J$12:$J$51)</f>
        <v/>
      </c>
      <c r="E31" s="24">
        <f>C31-D31</f>
        <v/>
      </c>
      <c r="G31" s="33" t="n"/>
      <c r="H31" s="14" t="n"/>
      <c r="I31" s="14" t="n"/>
      <c r="J31" s="30" t="n"/>
    </row>
    <row r="32">
      <c r="B32" s="29">
        <f>Instellingen!$F$14</f>
        <v/>
      </c>
      <c r="C32" s="30" t="n"/>
      <c r="D32" s="24">
        <f>SUMIF($I$12:$I$51,B32,$J$12:$J$51)</f>
        <v/>
      </c>
      <c r="E32" s="24">
        <f>C32-D32</f>
        <v/>
      </c>
      <c r="G32" s="33" t="n"/>
      <c r="H32" s="14" t="n"/>
      <c r="I32" s="14" t="n"/>
      <c r="J32" s="30" t="n"/>
    </row>
    <row r="33">
      <c r="B33" s="29">
        <f>Instellingen!$F$15</f>
        <v/>
      </c>
      <c r="C33" s="30" t="n"/>
      <c r="D33" s="24">
        <f>SUMIF($I$12:$I$51,B33,$J$12:$J$51)</f>
        <v/>
      </c>
      <c r="E33" s="24">
        <f>C33-D33</f>
        <v/>
      </c>
      <c r="G33" s="33" t="n"/>
      <c r="H33" s="14" t="n"/>
      <c r="I33" s="14" t="n"/>
      <c r="J33" s="30" t="n"/>
    </row>
    <row r="34">
      <c r="B34" s="29">
        <f>Instellingen!$F$16</f>
        <v/>
      </c>
      <c r="C34" s="30" t="n"/>
      <c r="D34" s="24">
        <f>SUMIF($I$12:$I$51,B34,$J$12:$J$51)</f>
        <v/>
      </c>
      <c r="E34" s="24">
        <f>C34-D34</f>
        <v/>
      </c>
      <c r="G34" s="33" t="n"/>
      <c r="H34" s="14" t="n"/>
      <c r="I34" s="14" t="n"/>
      <c r="J34" s="30" t="n"/>
    </row>
    <row r="35">
      <c r="B35" s="29">
        <f>Instellingen!$F$17</f>
        <v/>
      </c>
      <c r="C35" s="30" t="n"/>
      <c r="D35" s="24">
        <f>SUMIF($I$12:$I$51,B35,$J$12:$J$51)</f>
        <v/>
      </c>
      <c r="E35" s="24">
        <f>C35-D35</f>
        <v/>
      </c>
      <c r="G35" s="33" t="n"/>
      <c r="H35" s="14" t="n"/>
      <c r="I35" s="14" t="n"/>
      <c r="J35" s="30" t="n"/>
    </row>
    <row r="36">
      <c r="B36" s="29">
        <f>Instellingen!$F$18</f>
        <v/>
      </c>
      <c r="C36" s="30" t="n"/>
      <c r="D36" s="24">
        <f>SUMIF($I$12:$I$51,B36,$J$12:$J$51)</f>
        <v/>
      </c>
      <c r="E36" s="24">
        <f>C36-D36</f>
        <v/>
      </c>
      <c r="G36" s="33" t="n"/>
      <c r="H36" s="14" t="n"/>
      <c r="I36" s="14" t="n"/>
      <c r="J36" s="30" t="n"/>
    </row>
    <row r="37">
      <c r="B37" s="29">
        <f>Instellingen!$F$19</f>
        <v/>
      </c>
      <c r="C37" s="30" t="n"/>
      <c r="D37" s="24">
        <f>SUMIF($I$12:$I$51,B37,$J$12:$J$51)</f>
        <v/>
      </c>
      <c r="E37" s="24">
        <f>C37-D37</f>
        <v/>
      </c>
      <c r="G37" s="33" t="n"/>
      <c r="H37" s="14" t="n"/>
      <c r="I37" s="14" t="n"/>
      <c r="J37" s="30" t="n"/>
    </row>
    <row r="38">
      <c r="B38" s="26" t="inlineStr">
        <is>
          <t>Subtotaal</t>
        </is>
      </c>
      <c r="C38" s="27">
        <f>SUM(C27:C37)</f>
        <v/>
      </c>
      <c r="D38" s="27">
        <f>SUM(D27:D37)</f>
        <v/>
      </c>
      <c r="E38" s="27">
        <f>SUM(E27:E37)</f>
        <v/>
      </c>
      <c r="G38" s="33" t="n"/>
      <c r="H38" s="14" t="n"/>
      <c r="I38" s="14" t="n"/>
      <c r="J38" s="30" t="n"/>
    </row>
    <row r="39">
      <c r="G39" s="33" t="n"/>
      <c r="H39" s="14" t="n"/>
      <c r="I39" s="14" t="n"/>
      <c r="J39" s="30" t="n"/>
    </row>
    <row r="40">
      <c r="B40" s="17" t="inlineStr">
        <is>
          <t>D · Sparen</t>
        </is>
      </c>
      <c r="C40" s="23" t="inlineStr">
        <is>
          <t>Begroot</t>
        </is>
      </c>
      <c r="D40" s="23" t="inlineStr">
        <is>
          <t>Werkelijk</t>
        </is>
      </c>
      <c r="E40" s="23" t="inlineStr">
        <is>
          <t>Verschil</t>
        </is>
      </c>
      <c r="G40" s="33" t="n"/>
      <c r="H40" s="14" t="n"/>
      <c r="I40" s="14" t="n"/>
      <c r="J40" s="30" t="n"/>
    </row>
    <row r="41">
      <c r="B41" s="29">
        <f>Instellingen!$H$9</f>
        <v/>
      </c>
      <c r="C41" s="30" t="n"/>
      <c r="D41" s="30" t="n"/>
      <c r="E41" s="24">
        <f>D41-C41</f>
        <v/>
      </c>
      <c r="G41" s="33" t="n"/>
      <c r="H41" s="14" t="n"/>
      <c r="I41" s="14" t="n"/>
      <c r="J41" s="30" t="n"/>
    </row>
    <row r="42">
      <c r="B42" s="29">
        <f>Instellingen!$H$10</f>
        <v/>
      </c>
      <c r="C42" s="30" t="n"/>
      <c r="D42" s="30" t="n"/>
      <c r="E42" s="24">
        <f>D42-C42</f>
        <v/>
      </c>
      <c r="G42" s="33" t="n"/>
      <c r="H42" s="14" t="n"/>
      <c r="I42" s="14" t="n"/>
      <c r="J42" s="30" t="n"/>
    </row>
    <row r="43">
      <c r="B43" s="29">
        <f>Instellingen!$H$11</f>
        <v/>
      </c>
      <c r="C43" s="30" t="n"/>
      <c r="D43" s="30" t="n"/>
      <c r="E43" s="24">
        <f>D43-C43</f>
        <v/>
      </c>
      <c r="G43" s="33" t="n"/>
      <c r="H43" s="14" t="n"/>
      <c r="I43" s="14" t="n"/>
      <c r="J43" s="30" t="n"/>
    </row>
    <row r="44">
      <c r="B44" s="29">
        <f>Instellingen!$H$12</f>
        <v/>
      </c>
      <c r="C44" s="30" t="n"/>
      <c r="D44" s="30" t="n"/>
      <c r="E44" s="24">
        <f>D44-C44</f>
        <v/>
      </c>
      <c r="G44" s="33" t="n"/>
      <c r="H44" s="14" t="n"/>
      <c r="I44" s="14" t="n"/>
      <c r="J44" s="30" t="n"/>
    </row>
    <row r="45">
      <c r="B45" s="26" t="inlineStr">
        <is>
          <t>Subtotaal</t>
        </is>
      </c>
      <c r="C45" s="27">
        <f>SUM(C41:C44)</f>
        <v/>
      </c>
      <c r="D45" s="27">
        <f>SUM(D41:D44)</f>
        <v/>
      </c>
      <c r="E45" s="27">
        <f>SUM(E41:E44)</f>
        <v/>
      </c>
      <c r="G45" s="33" t="n"/>
      <c r="H45" s="14" t="n"/>
      <c r="I45" s="14" t="n"/>
      <c r="J45" s="30" t="n"/>
    </row>
    <row r="46">
      <c r="B46" s="12" t="inlineStr">
        <is>
          <t>Werkelijk bij variabele uitgaven wordt automatisch gevuld vanuit het Uitgavenlogboek.</t>
        </is>
      </c>
      <c r="G46" s="33" t="n"/>
      <c r="H46" s="14" t="n"/>
      <c r="I46" s="14" t="n"/>
      <c r="J46" s="30" t="n"/>
    </row>
    <row r="47">
      <c r="G47" s="33" t="n"/>
      <c r="H47" s="14" t="n"/>
      <c r="I47" s="14" t="n"/>
      <c r="J47" s="30" t="n"/>
    </row>
    <row r="48">
      <c r="G48" s="33" t="n"/>
      <c r="H48" s="14" t="n"/>
      <c r="I48" s="14" t="n"/>
      <c r="J48" s="30" t="n"/>
    </row>
    <row r="49">
      <c r="G49" s="33" t="n"/>
      <c r="H49" s="14" t="n"/>
      <c r="I49" s="14" t="n"/>
      <c r="J49" s="30" t="n"/>
    </row>
    <row r="50">
      <c r="G50" s="33" t="n"/>
      <c r="H50" s="14" t="n"/>
      <c r="I50" s="14" t="n"/>
      <c r="J50" s="30" t="n"/>
    </row>
    <row r="51">
      <c r="G51" s="33" t="n"/>
      <c r="H51" s="14" t="n"/>
      <c r="I51" s="14" t="n"/>
      <c r="J51" s="30" t="n"/>
    </row>
    <row r="52">
      <c r="G52" s="26" t="inlineStr">
        <is>
          <t>Totaal logboek</t>
        </is>
      </c>
      <c r="H52" s="34" t="n"/>
      <c r="I52" s="20" t="n"/>
      <c r="J52" s="27">
        <f>SUM(J12:J51)</f>
        <v/>
      </c>
    </row>
  </sheetData>
  <mergeCells count="6">
    <mergeCell ref="G4:H4"/>
    <mergeCell ref="G7:H7"/>
    <mergeCell ref="G5:H5"/>
    <mergeCell ref="G6:H6"/>
    <mergeCell ref="G8:H8"/>
    <mergeCell ref="G52:I52"/>
  </mergeCells>
  <conditionalFormatting sqref="E5:E9">
    <cfRule type="cellIs" priority="1" operator="lessThan" dxfId="0">
      <formula>0</formula>
    </cfRule>
  </conditionalFormatting>
  <conditionalFormatting sqref="E12:E24">
    <cfRule type="cellIs" priority="2" operator="lessThan" dxfId="0">
      <formula>0</formula>
    </cfRule>
  </conditionalFormatting>
  <conditionalFormatting sqref="E27:E38">
    <cfRule type="cellIs" priority="3" operator="lessThan" dxfId="0">
      <formula>0</formula>
    </cfRule>
  </conditionalFormatting>
  <conditionalFormatting sqref="E41:E45">
    <cfRule type="cellIs" priority="4" operator="lessThan" dxfId="0">
      <formula>0</formula>
    </cfRule>
  </conditionalFormatting>
  <conditionalFormatting sqref="I8:J8">
    <cfRule type="cellIs" priority="5" operator="lessThan" dxfId="0">
      <formula>0</formula>
    </cfRule>
  </conditionalFormatting>
  <dataValidations count="1">
    <dataValidation sqref="I12:I51" showDropDown="0" showInputMessage="0" showErrorMessage="1" allowBlank="1" errorTitle="Onbekende categorie" error="Kies een categorie uit de lijst (aanpassen kan op het tabblad Instellingen)." type="list">
      <formula1>=Instellingen!$F$9:$F$19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F7A61"/>
    <outlinePr summaryBelow="1" summaryRight="1"/>
    <pageSetUpPr/>
  </sheetPr>
  <dimension ref="B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3" customWidth="1" min="6" max="6"/>
    <col width="14" customWidth="1" min="7" max="7"/>
    <col width="32" customWidth="1" min="8" max="8"/>
    <col width="26" customWidth="1" min="9" max="9"/>
    <col width="14" customWidth="1" min="10" max="10"/>
  </cols>
  <sheetData>
    <row r="1">
      <c r="B1" s="1" t="inlineStr">
        <is>
          <t>Plannerij</t>
        </is>
      </c>
    </row>
    <row r="2" ht="30" customHeight="1">
      <c r="B2" s="2" t="inlineStr">
        <is>
          <t>Augustus</t>
        </is>
      </c>
    </row>
    <row r="3">
      <c r="B3" s="3">
        <f>IF(Instellingen!$C$5="","",Instellingen!$C$5)</f>
        <v/>
      </c>
    </row>
    <row r="4">
      <c r="B4" s="17" t="inlineStr">
        <is>
          <t>A · Inkomen</t>
        </is>
      </c>
      <c r="C4" s="23" t="inlineStr">
        <is>
          <t>Begroot</t>
        </is>
      </c>
      <c r="D4" s="23" t="inlineStr">
        <is>
          <t>Werkelijk</t>
        </is>
      </c>
      <c r="E4" s="23" t="inlineStr">
        <is>
          <t>Verschil</t>
        </is>
      </c>
      <c r="G4" s="17" t="inlineStr">
        <is>
          <t>Samenvatting</t>
        </is>
      </c>
      <c r="H4" s="20" t="n"/>
      <c r="I4" s="23" t="inlineStr">
        <is>
          <t>Begroot</t>
        </is>
      </c>
      <c r="J4" s="23" t="inlineStr">
        <is>
          <t>Werkelijk</t>
        </is>
      </c>
    </row>
    <row r="5">
      <c r="B5" s="29">
        <f>Instellingen!$B$9</f>
        <v/>
      </c>
      <c r="C5" s="30" t="n"/>
      <c r="D5" s="30" t="n"/>
      <c r="E5" s="24">
        <f>D5-C5</f>
        <v/>
      </c>
      <c r="G5" s="31" t="inlineStr">
        <is>
          <t>Totaal inkomen</t>
        </is>
      </c>
      <c r="H5" s="20" t="n"/>
      <c r="I5" s="32">
        <f>C9</f>
        <v/>
      </c>
      <c r="J5" s="32">
        <f>D9</f>
        <v/>
      </c>
    </row>
    <row r="6">
      <c r="B6" s="29">
        <f>Instellingen!$B$10</f>
        <v/>
      </c>
      <c r="C6" s="30" t="n"/>
      <c r="D6" s="30" t="n"/>
      <c r="E6" s="24">
        <f>D6-C6</f>
        <v/>
      </c>
      <c r="G6" s="31" t="inlineStr">
        <is>
          <t>Totaal uitgaven</t>
        </is>
      </c>
      <c r="H6" s="20" t="n"/>
      <c r="I6" s="32">
        <f>C24+C38</f>
        <v/>
      </c>
      <c r="J6" s="32">
        <f>D24+D38</f>
        <v/>
      </c>
    </row>
    <row r="7">
      <c r="B7" s="29">
        <f>Instellingen!$B$11</f>
        <v/>
      </c>
      <c r="C7" s="30" t="n"/>
      <c r="D7" s="30" t="n"/>
      <c r="E7" s="24">
        <f>D7-C7</f>
        <v/>
      </c>
      <c r="G7" s="31" t="inlineStr">
        <is>
          <t>Gespaard</t>
        </is>
      </c>
      <c r="H7" s="20" t="n"/>
      <c r="I7" s="32">
        <f>C45</f>
        <v/>
      </c>
      <c r="J7" s="32">
        <f>D45</f>
        <v/>
      </c>
    </row>
    <row r="8">
      <c r="B8" s="29">
        <f>Instellingen!$B$12</f>
        <v/>
      </c>
      <c r="C8" s="30" t="n"/>
      <c r="D8" s="30" t="n"/>
      <c r="E8" s="24">
        <f>D8-C8</f>
        <v/>
      </c>
      <c r="G8" s="26" t="inlineStr">
        <is>
          <t>Over / tekort</t>
        </is>
      </c>
      <c r="H8" s="20" t="n"/>
      <c r="I8" s="27">
        <f>I5-I6-I7</f>
        <v/>
      </c>
      <c r="J8" s="27">
        <f>J5-J6-J7</f>
        <v/>
      </c>
    </row>
    <row r="9">
      <c r="B9" s="26" t="inlineStr">
        <is>
          <t>Subtotaal</t>
        </is>
      </c>
      <c r="C9" s="27">
        <f>SUM(C5:C8)</f>
        <v/>
      </c>
      <c r="D9" s="27">
        <f>SUM(D5:D8)</f>
        <v/>
      </c>
      <c r="E9" s="27">
        <f>SUM(E5:E8)</f>
        <v/>
      </c>
    </row>
    <row r="10">
      <c r="G10" s="4" t="inlineStr">
        <is>
          <t>Uitgavenlogboek</t>
        </is>
      </c>
      <c r="I10" s="12" t="inlineStr">
        <is>
          <t>Kies een categorie uit de lijst; het bedrag telt automatisch op bij Variabele uitgaven.</t>
        </is>
      </c>
    </row>
    <row r="11">
      <c r="B11" s="17" t="inlineStr">
        <is>
          <t>B · Vaste lasten</t>
        </is>
      </c>
      <c r="C11" s="23" t="inlineStr">
        <is>
          <t>Begroot</t>
        </is>
      </c>
      <c r="D11" s="23" t="inlineStr">
        <is>
          <t>Werkelijk</t>
        </is>
      </c>
      <c r="E11" s="23" t="inlineStr">
        <is>
          <t>Verschil</t>
        </is>
      </c>
      <c r="G11" s="17" t="inlineStr">
        <is>
          <t>Datum</t>
        </is>
      </c>
      <c r="H11" s="23" t="inlineStr">
        <is>
          <t>Omschrijving</t>
        </is>
      </c>
      <c r="I11" s="23" t="inlineStr">
        <is>
          <t>Categorie</t>
        </is>
      </c>
      <c r="J11" s="23" t="inlineStr">
        <is>
          <t>Bedrag</t>
        </is>
      </c>
    </row>
    <row r="12">
      <c r="B12" s="29">
        <f>Instellingen!$D$9</f>
        <v/>
      </c>
      <c r="C12" s="30" t="n"/>
      <c r="D12" s="30" t="n"/>
      <c r="E12" s="24">
        <f>C12-D12</f>
        <v/>
      </c>
      <c r="G12" s="33" t="n"/>
      <c r="H12" s="14" t="n"/>
      <c r="I12" s="14" t="n"/>
      <c r="J12" s="30" t="n"/>
    </row>
    <row r="13">
      <c r="B13" s="29">
        <f>Instellingen!$D$10</f>
        <v/>
      </c>
      <c r="C13" s="30" t="n"/>
      <c r="D13" s="30" t="n"/>
      <c r="E13" s="24">
        <f>C13-D13</f>
        <v/>
      </c>
      <c r="G13" s="33" t="n"/>
      <c r="H13" s="14" t="n"/>
      <c r="I13" s="14" t="n"/>
      <c r="J13" s="30" t="n"/>
    </row>
    <row r="14">
      <c r="B14" s="29">
        <f>Instellingen!$D$11</f>
        <v/>
      </c>
      <c r="C14" s="30" t="n"/>
      <c r="D14" s="30" t="n"/>
      <c r="E14" s="24">
        <f>C14-D14</f>
        <v/>
      </c>
      <c r="G14" s="33" t="n"/>
      <c r="H14" s="14" t="n"/>
      <c r="I14" s="14" t="n"/>
      <c r="J14" s="30" t="n"/>
    </row>
    <row r="15">
      <c r="B15" s="29">
        <f>Instellingen!$D$12</f>
        <v/>
      </c>
      <c r="C15" s="30" t="n"/>
      <c r="D15" s="30" t="n"/>
      <c r="E15" s="24">
        <f>C15-D15</f>
        <v/>
      </c>
      <c r="G15" s="33" t="n"/>
      <c r="H15" s="14" t="n"/>
      <c r="I15" s="14" t="n"/>
      <c r="J15" s="30" t="n"/>
    </row>
    <row r="16">
      <c r="B16" s="29">
        <f>Instellingen!$D$13</f>
        <v/>
      </c>
      <c r="C16" s="30" t="n"/>
      <c r="D16" s="30" t="n"/>
      <c r="E16" s="24">
        <f>C16-D16</f>
        <v/>
      </c>
      <c r="G16" s="33" t="n"/>
      <c r="H16" s="14" t="n"/>
      <c r="I16" s="14" t="n"/>
      <c r="J16" s="30" t="n"/>
    </row>
    <row r="17">
      <c r="B17" s="29">
        <f>Instellingen!$D$14</f>
        <v/>
      </c>
      <c r="C17" s="30" t="n"/>
      <c r="D17" s="30" t="n"/>
      <c r="E17" s="24">
        <f>C17-D17</f>
        <v/>
      </c>
      <c r="G17" s="33" t="n"/>
      <c r="H17" s="14" t="n"/>
      <c r="I17" s="14" t="n"/>
      <c r="J17" s="30" t="n"/>
    </row>
    <row r="18">
      <c r="B18" s="29">
        <f>Instellingen!$D$15</f>
        <v/>
      </c>
      <c r="C18" s="30" t="n"/>
      <c r="D18" s="30" t="n"/>
      <c r="E18" s="24">
        <f>C18-D18</f>
        <v/>
      </c>
      <c r="G18" s="33" t="n"/>
      <c r="H18" s="14" t="n"/>
      <c r="I18" s="14" t="n"/>
      <c r="J18" s="30" t="n"/>
    </row>
    <row r="19">
      <c r="B19" s="29">
        <f>Instellingen!$D$16</f>
        <v/>
      </c>
      <c r="C19" s="30" t="n"/>
      <c r="D19" s="30" t="n"/>
      <c r="E19" s="24">
        <f>C19-D19</f>
        <v/>
      </c>
      <c r="G19" s="33" t="n"/>
      <c r="H19" s="14" t="n"/>
      <c r="I19" s="14" t="n"/>
      <c r="J19" s="30" t="n"/>
    </row>
    <row r="20">
      <c r="B20" s="29">
        <f>Instellingen!$D$17</f>
        <v/>
      </c>
      <c r="C20" s="30" t="n"/>
      <c r="D20" s="30" t="n"/>
      <c r="E20" s="24">
        <f>C20-D20</f>
        <v/>
      </c>
      <c r="G20" s="33" t="n"/>
      <c r="H20" s="14" t="n"/>
      <c r="I20" s="14" t="n"/>
      <c r="J20" s="30" t="n"/>
    </row>
    <row r="21">
      <c r="B21" s="29">
        <f>Instellingen!$D$18</f>
        <v/>
      </c>
      <c r="C21" s="30" t="n"/>
      <c r="D21" s="30" t="n"/>
      <c r="E21" s="24">
        <f>C21-D21</f>
        <v/>
      </c>
      <c r="G21" s="33" t="n"/>
      <c r="H21" s="14" t="n"/>
      <c r="I21" s="14" t="n"/>
      <c r="J21" s="30" t="n"/>
    </row>
    <row r="22">
      <c r="B22" s="29">
        <f>Instellingen!$D$19</f>
        <v/>
      </c>
      <c r="C22" s="30" t="n"/>
      <c r="D22" s="30" t="n"/>
      <c r="E22" s="24">
        <f>C22-D22</f>
        <v/>
      </c>
      <c r="G22" s="33" t="n"/>
      <c r="H22" s="14" t="n"/>
      <c r="I22" s="14" t="n"/>
      <c r="J22" s="30" t="n"/>
    </row>
    <row r="23">
      <c r="B23" s="29">
        <f>Instellingen!$D$20</f>
        <v/>
      </c>
      <c r="C23" s="30" t="n"/>
      <c r="D23" s="30" t="n"/>
      <c r="E23" s="24">
        <f>C23-D23</f>
        <v/>
      </c>
      <c r="G23" s="33" t="n"/>
      <c r="H23" s="14" t="n"/>
      <c r="I23" s="14" t="n"/>
      <c r="J23" s="30" t="n"/>
    </row>
    <row r="24">
      <c r="B24" s="26" t="inlineStr">
        <is>
          <t>Subtotaal</t>
        </is>
      </c>
      <c r="C24" s="27">
        <f>SUM(C12:C23)</f>
        <v/>
      </c>
      <c r="D24" s="27">
        <f>SUM(D12:D23)</f>
        <v/>
      </c>
      <c r="E24" s="27">
        <f>SUM(E12:E23)</f>
        <v/>
      </c>
      <c r="G24" s="33" t="n"/>
      <c r="H24" s="14" t="n"/>
      <c r="I24" s="14" t="n"/>
      <c r="J24" s="30" t="n"/>
    </row>
    <row r="25">
      <c r="G25" s="33" t="n"/>
      <c r="H25" s="14" t="n"/>
      <c r="I25" s="14" t="n"/>
      <c r="J25" s="30" t="n"/>
    </row>
    <row r="26">
      <c r="B26" s="17" t="inlineStr">
        <is>
          <t>C · Variabele uitgaven</t>
        </is>
      </c>
      <c r="C26" s="23" t="inlineStr">
        <is>
          <t>Begroot</t>
        </is>
      </c>
      <c r="D26" s="23" t="inlineStr">
        <is>
          <t>Werkelijk</t>
        </is>
      </c>
      <c r="E26" s="23" t="inlineStr">
        <is>
          <t>Verschil</t>
        </is>
      </c>
      <c r="G26" s="33" t="n"/>
      <c r="H26" s="14" t="n"/>
      <c r="I26" s="14" t="n"/>
      <c r="J26" s="30" t="n"/>
    </row>
    <row r="27">
      <c r="B27" s="29">
        <f>Instellingen!$F$9</f>
        <v/>
      </c>
      <c r="C27" s="30" t="n"/>
      <c r="D27" s="24">
        <f>SUMIF($I$12:$I$51,B27,$J$12:$J$51)</f>
        <v/>
      </c>
      <c r="E27" s="24">
        <f>C27-D27</f>
        <v/>
      </c>
      <c r="G27" s="33" t="n"/>
      <c r="H27" s="14" t="n"/>
      <c r="I27" s="14" t="n"/>
      <c r="J27" s="30" t="n"/>
    </row>
    <row r="28">
      <c r="B28" s="29">
        <f>Instellingen!$F$10</f>
        <v/>
      </c>
      <c r="C28" s="30" t="n"/>
      <c r="D28" s="24">
        <f>SUMIF($I$12:$I$51,B28,$J$12:$J$51)</f>
        <v/>
      </c>
      <c r="E28" s="24">
        <f>C28-D28</f>
        <v/>
      </c>
      <c r="G28" s="33" t="n"/>
      <c r="H28" s="14" t="n"/>
      <c r="I28" s="14" t="n"/>
      <c r="J28" s="30" t="n"/>
    </row>
    <row r="29">
      <c r="B29" s="29">
        <f>Instellingen!$F$11</f>
        <v/>
      </c>
      <c r="C29" s="30" t="n"/>
      <c r="D29" s="24">
        <f>SUMIF($I$12:$I$51,B29,$J$12:$J$51)</f>
        <v/>
      </c>
      <c r="E29" s="24">
        <f>C29-D29</f>
        <v/>
      </c>
      <c r="G29" s="33" t="n"/>
      <c r="H29" s="14" t="n"/>
      <c r="I29" s="14" t="n"/>
      <c r="J29" s="30" t="n"/>
    </row>
    <row r="30">
      <c r="B30" s="29">
        <f>Instellingen!$F$12</f>
        <v/>
      </c>
      <c r="C30" s="30" t="n"/>
      <c r="D30" s="24">
        <f>SUMIF($I$12:$I$51,B30,$J$12:$J$51)</f>
        <v/>
      </c>
      <c r="E30" s="24">
        <f>C30-D30</f>
        <v/>
      </c>
      <c r="G30" s="33" t="n"/>
      <c r="H30" s="14" t="n"/>
      <c r="I30" s="14" t="n"/>
      <c r="J30" s="30" t="n"/>
    </row>
    <row r="31">
      <c r="B31" s="29">
        <f>Instellingen!$F$13</f>
        <v/>
      </c>
      <c r="C31" s="30" t="n"/>
      <c r="D31" s="24">
        <f>SUMIF($I$12:$I$51,B31,$J$12:$J$51)</f>
        <v/>
      </c>
      <c r="E31" s="24">
        <f>C31-D31</f>
        <v/>
      </c>
      <c r="G31" s="33" t="n"/>
      <c r="H31" s="14" t="n"/>
      <c r="I31" s="14" t="n"/>
      <c r="J31" s="30" t="n"/>
    </row>
    <row r="32">
      <c r="B32" s="29">
        <f>Instellingen!$F$14</f>
        <v/>
      </c>
      <c r="C32" s="30" t="n"/>
      <c r="D32" s="24">
        <f>SUMIF($I$12:$I$51,B32,$J$12:$J$51)</f>
        <v/>
      </c>
      <c r="E32" s="24">
        <f>C32-D32</f>
        <v/>
      </c>
      <c r="G32" s="33" t="n"/>
      <c r="H32" s="14" t="n"/>
      <c r="I32" s="14" t="n"/>
      <c r="J32" s="30" t="n"/>
    </row>
    <row r="33">
      <c r="B33" s="29">
        <f>Instellingen!$F$15</f>
        <v/>
      </c>
      <c r="C33" s="30" t="n"/>
      <c r="D33" s="24">
        <f>SUMIF($I$12:$I$51,B33,$J$12:$J$51)</f>
        <v/>
      </c>
      <c r="E33" s="24">
        <f>C33-D33</f>
        <v/>
      </c>
      <c r="G33" s="33" t="n"/>
      <c r="H33" s="14" t="n"/>
      <c r="I33" s="14" t="n"/>
      <c r="J33" s="30" t="n"/>
    </row>
    <row r="34">
      <c r="B34" s="29">
        <f>Instellingen!$F$16</f>
        <v/>
      </c>
      <c r="C34" s="30" t="n"/>
      <c r="D34" s="24">
        <f>SUMIF($I$12:$I$51,B34,$J$12:$J$51)</f>
        <v/>
      </c>
      <c r="E34" s="24">
        <f>C34-D34</f>
        <v/>
      </c>
      <c r="G34" s="33" t="n"/>
      <c r="H34" s="14" t="n"/>
      <c r="I34" s="14" t="n"/>
      <c r="J34" s="30" t="n"/>
    </row>
    <row r="35">
      <c r="B35" s="29">
        <f>Instellingen!$F$17</f>
        <v/>
      </c>
      <c r="C35" s="30" t="n"/>
      <c r="D35" s="24">
        <f>SUMIF($I$12:$I$51,B35,$J$12:$J$51)</f>
        <v/>
      </c>
      <c r="E35" s="24">
        <f>C35-D35</f>
        <v/>
      </c>
      <c r="G35" s="33" t="n"/>
      <c r="H35" s="14" t="n"/>
      <c r="I35" s="14" t="n"/>
      <c r="J35" s="30" t="n"/>
    </row>
    <row r="36">
      <c r="B36" s="29">
        <f>Instellingen!$F$18</f>
        <v/>
      </c>
      <c r="C36" s="30" t="n"/>
      <c r="D36" s="24">
        <f>SUMIF($I$12:$I$51,B36,$J$12:$J$51)</f>
        <v/>
      </c>
      <c r="E36" s="24">
        <f>C36-D36</f>
        <v/>
      </c>
      <c r="G36" s="33" t="n"/>
      <c r="H36" s="14" t="n"/>
      <c r="I36" s="14" t="n"/>
      <c r="J36" s="30" t="n"/>
    </row>
    <row r="37">
      <c r="B37" s="29">
        <f>Instellingen!$F$19</f>
        <v/>
      </c>
      <c r="C37" s="30" t="n"/>
      <c r="D37" s="24">
        <f>SUMIF($I$12:$I$51,B37,$J$12:$J$51)</f>
        <v/>
      </c>
      <c r="E37" s="24">
        <f>C37-D37</f>
        <v/>
      </c>
      <c r="G37" s="33" t="n"/>
      <c r="H37" s="14" t="n"/>
      <c r="I37" s="14" t="n"/>
      <c r="J37" s="30" t="n"/>
    </row>
    <row r="38">
      <c r="B38" s="26" t="inlineStr">
        <is>
          <t>Subtotaal</t>
        </is>
      </c>
      <c r="C38" s="27">
        <f>SUM(C27:C37)</f>
        <v/>
      </c>
      <c r="D38" s="27">
        <f>SUM(D27:D37)</f>
        <v/>
      </c>
      <c r="E38" s="27">
        <f>SUM(E27:E37)</f>
        <v/>
      </c>
      <c r="G38" s="33" t="n"/>
      <c r="H38" s="14" t="n"/>
      <c r="I38" s="14" t="n"/>
      <c r="J38" s="30" t="n"/>
    </row>
    <row r="39">
      <c r="G39" s="33" t="n"/>
      <c r="H39" s="14" t="n"/>
      <c r="I39" s="14" t="n"/>
      <c r="J39" s="30" t="n"/>
    </row>
    <row r="40">
      <c r="B40" s="17" t="inlineStr">
        <is>
          <t>D · Sparen</t>
        </is>
      </c>
      <c r="C40" s="23" t="inlineStr">
        <is>
          <t>Begroot</t>
        </is>
      </c>
      <c r="D40" s="23" t="inlineStr">
        <is>
          <t>Werkelijk</t>
        </is>
      </c>
      <c r="E40" s="23" t="inlineStr">
        <is>
          <t>Verschil</t>
        </is>
      </c>
      <c r="G40" s="33" t="n"/>
      <c r="H40" s="14" t="n"/>
      <c r="I40" s="14" t="n"/>
      <c r="J40" s="30" t="n"/>
    </row>
    <row r="41">
      <c r="B41" s="29">
        <f>Instellingen!$H$9</f>
        <v/>
      </c>
      <c r="C41" s="30" t="n"/>
      <c r="D41" s="30" t="n"/>
      <c r="E41" s="24">
        <f>D41-C41</f>
        <v/>
      </c>
      <c r="G41" s="33" t="n"/>
      <c r="H41" s="14" t="n"/>
      <c r="I41" s="14" t="n"/>
      <c r="J41" s="30" t="n"/>
    </row>
    <row r="42">
      <c r="B42" s="29">
        <f>Instellingen!$H$10</f>
        <v/>
      </c>
      <c r="C42" s="30" t="n"/>
      <c r="D42" s="30" t="n"/>
      <c r="E42" s="24">
        <f>D42-C42</f>
        <v/>
      </c>
      <c r="G42" s="33" t="n"/>
      <c r="H42" s="14" t="n"/>
      <c r="I42" s="14" t="n"/>
      <c r="J42" s="30" t="n"/>
    </row>
    <row r="43">
      <c r="B43" s="29">
        <f>Instellingen!$H$11</f>
        <v/>
      </c>
      <c r="C43" s="30" t="n"/>
      <c r="D43" s="30" t="n"/>
      <c r="E43" s="24">
        <f>D43-C43</f>
        <v/>
      </c>
      <c r="G43" s="33" t="n"/>
      <c r="H43" s="14" t="n"/>
      <c r="I43" s="14" t="n"/>
      <c r="J43" s="30" t="n"/>
    </row>
    <row r="44">
      <c r="B44" s="29">
        <f>Instellingen!$H$12</f>
        <v/>
      </c>
      <c r="C44" s="30" t="n"/>
      <c r="D44" s="30" t="n"/>
      <c r="E44" s="24">
        <f>D44-C44</f>
        <v/>
      </c>
      <c r="G44" s="33" t="n"/>
      <c r="H44" s="14" t="n"/>
      <c r="I44" s="14" t="n"/>
      <c r="J44" s="30" t="n"/>
    </row>
    <row r="45">
      <c r="B45" s="26" t="inlineStr">
        <is>
          <t>Subtotaal</t>
        </is>
      </c>
      <c r="C45" s="27">
        <f>SUM(C41:C44)</f>
        <v/>
      </c>
      <c r="D45" s="27">
        <f>SUM(D41:D44)</f>
        <v/>
      </c>
      <c r="E45" s="27">
        <f>SUM(E41:E44)</f>
        <v/>
      </c>
      <c r="G45" s="33" t="n"/>
      <c r="H45" s="14" t="n"/>
      <c r="I45" s="14" t="n"/>
      <c r="J45" s="30" t="n"/>
    </row>
    <row r="46">
      <c r="B46" s="12" t="inlineStr">
        <is>
          <t>Werkelijk bij variabele uitgaven wordt automatisch gevuld vanuit het Uitgavenlogboek.</t>
        </is>
      </c>
      <c r="G46" s="33" t="n"/>
      <c r="H46" s="14" t="n"/>
      <c r="I46" s="14" t="n"/>
      <c r="J46" s="30" t="n"/>
    </row>
    <row r="47">
      <c r="G47" s="33" t="n"/>
      <c r="H47" s="14" t="n"/>
      <c r="I47" s="14" t="n"/>
      <c r="J47" s="30" t="n"/>
    </row>
    <row r="48">
      <c r="G48" s="33" t="n"/>
      <c r="H48" s="14" t="n"/>
      <c r="I48" s="14" t="n"/>
      <c r="J48" s="30" t="n"/>
    </row>
    <row r="49">
      <c r="G49" s="33" t="n"/>
      <c r="H49" s="14" t="n"/>
      <c r="I49" s="14" t="n"/>
      <c r="J49" s="30" t="n"/>
    </row>
    <row r="50">
      <c r="G50" s="33" t="n"/>
      <c r="H50" s="14" t="n"/>
      <c r="I50" s="14" t="n"/>
      <c r="J50" s="30" t="n"/>
    </row>
    <row r="51">
      <c r="G51" s="33" t="n"/>
      <c r="H51" s="14" t="n"/>
      <c r="I51" s="14" t="n"/>
      <c r="J51" s="30" t="n"/>
    </row>
    <row r="52">
      <c r="G52" s="26" t="inlineStr">
        <is>
          <t>Totaal logboek</t>
        </is>
      </c>
      <c r="H52" s="34" t="n"/>
      <c r="I52" s="20" t="n"/>
      <c r="J52" s="27">
        <f>SUM(J12:J51)</f>
        <v/>
      </c>
    </row>
  </sheetData>
  <mergeCells count="6">
    <mergeCell ref="G4:H4"/>
    <mergeCell ref="G7:H7"/>
    <mergeCell ref="G5:H5"/>
    <mergeCell ref="G6:H6"/>
    <mergeCell ref="G8:H8"/>
    <mergeCell ref="G52:I52"/>
  </mergeCells>
  <conditionalFormatting sqref="E5:E9">
    <cfRule type="cellIs" priority="1" operator="lessThan" dxfId="0">
      <formula>0</formula>
    </cfRule>
  </conditionalFormatting>
  <conditionalFormatting sqref="E12:E24">
    <cfRule type="cellIs" priority="2" operator="lessThan" dxfId="0">
      <formula>0</formula>
    </cfRule>
  </conditionalFormatting>
  <conditionalFormatting sqref="E27:E38">
    <cfRule type="cellIs" priority="3" operator="lessThan" dxfId="0">
      <formula>0</formula>
    </cfRule>
  </conditionalFormatting>
  <conditionalFormatting sqref="E41:E45">
    <cfRule type="cellIs" priority="4" operator="lessThan" dxfId="0">
      <formula>0</formula>
    </cfRule>
  </conditionalFormatting>
  <conditionalFormatting sqref="I8:J8">
    <cfRule type="cellIs" priority="5" operator="lessThan" dxfId="0">
      <formula>0</formula>
    </cfRule>
  </conditionalFormatting>
  <dataValidations count="1">
    <dataValidation sqref="I12:I51" showDropDown="0" showInputMessage="0" showErrorMessage="1" allowBlank="1" errorTitle="Onbekende categorie" error="Kies een categorie uit de lijst (aanpassen kan op het tabblad Instellingen)." type="list">
      <formula1>=Instellingen!$F$9:$F$19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F7A61"/>
    <outlinePr summaryBelow="1" summaryRight="1"/>
    <pageSetUpPr/>
  </sheetPr>
  <dimension ref="B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3" customWidth="1" min="6" max="6"/>
    <col width="14" customWidth="1" min="7" max="7"/>
    <col width="32" customWidth="1" min="8" max="8"/>
    <col width="26" customWidth="1" min="9" max="9"/>
    <col width="14" customWidth="1" min="10" max="10"/>
  </cols>
  <sheetData>
    <row r="1">
      <c r="B1" s="1" t="inlineStr">
        <is>
          <t>Plannerij</t>
        </is>
      </c>
    </row>
    <row r="2" ht="30" customHeight="1">
      <c r="B2" s="2" t="inlineStr">
        <is>
          <t>September</t>
        </is>
      </c>
    </row>
    <row r="3">
      <c r="B3" s="3">
        <f>IF(Instellingen!$C$5="","",Instellingen!$C$5)</f>
        <v/>
      </c>
    </row>
    <row r="4">
      <c r="B4" s="17" t="inlineStr">
        <is>
          <t>A · Inkomen</t>
        </is>
      </c>
      <c r="C4" s="23" t="inlineStr">
        <is>
          <t>Begroot</t>
        </is>
      </c>
      <c r="D4" s="23" t="inlineStr">
        <is>
          <t>Werkelijk</t>
        </is>
      </c>
      <c r="E4" s="23" t="inlineStr">
        <is>
          <t>Verschil</t>
        </is>
      </c>
      <c r="G4" s="17" t="inlineStr">
        <is>
          <t>Samenvatting</t>
        </is>
      </c>
      <c r="H4" s="20" t="n"/>
      <c r="I4" s="23" t="inlineStr">
        <is>
          <t>Begroot</t>
        </is>
      </c>
      <c r="J4" s="23" t="inlineStr">
        <is>
          <t>Werkelijk</t>
        </is>
      </c>
    </row>
    <row r="5">
      <c r="B5" s="29">
        <f>Instellingen!$B$9</f>
        <v/>
      </c>
      <c r="C5" s="30" t="n"/>
      <c r="D5" s="30" t="n"/>
      <c r="E5" s="24">
        <f>D5-C5</f>
        <v/>
      </c>
      <c r="G5" s="31" t="inlineStr">
        <is>
          <t>Totaal inkomen</t>
        </is>
      </c>
      <c r="H5" s="20" t="n"/>
      <c r="I5" s="32">
        <f>C9</f>
        <v/>
      </c>
      <c r="J5" s="32">
        <f>D9</f>
        <v/>
      </c>
    </row>
    <row r="6">
      <c r="B6" s="29">
        <f>Instellingen!$B$10</f>
        <v/>
      </c>
      <c r="C6" s="30" t="n"/>
      <c r="D6" s="30" t="n"/>
      <c r="E6" s="24">
        <f>D6-C6</f>
        <v/>
      </c>
      <c r="G6" s="31" t="inlineStr">
        <is>
          <t>Totaal uitgaven</t>
        </is>
      </c>
      <c r="H6" s="20" t="n"/>
      <c r="I6" s="32">
        <f>C24+C38</f>
        <v/>
      </c>
      <c r="J6" s="32">
        <f>D24+D38</f>
        <v/>
      </c>
    </row>
    <row r="7">
      <c r="B7" s="29">
        <f>Instellingen!$B$11</f>
        <v/>
      </c>
      <c r="C7" s="30" t="n"/>
      <c r="D7" s="30" t="n"/>
      <c r="E7" s="24">
        <f>D7-C7</f>
        <v/>
      </c>
      <c r="G7" s="31" t="inlineStr">
        <is>
          <t>Gespaard</t>
        </is>
      </c>
      <c r="H7" s="20" t="n"/>
      <c r="I7" s="32">
        <f>C45</f>
        <v/>
      </c>
      <c r="J7" s="32">
        <f>D45</f>
        <v/>
      </c>
    </row>
    <row r="8">
      <c r="B8" s="29">
        <f>Instellingen!$B$12</f>
        <v/>
      </c>
      <c r="C8" s="30" t="n"/>
      <c r="D8" s="30" t="n"/>
      <c r="E8" s="24">
        <f>D8-C8</f>
        <v/>
      </c>
      <c r="G8" s="26" t="inlineStr">
        <is>
          <t>Over / tekort</t>
        </is>
      </c>
      <c r="H8" s="20" t="n"/>
      <c r="I8" s="27">
        <f>I5-I6-I7</f>
        <v/>
      </c>
      <c r="J8" s="27">
        <f>J5-J6-J7</f>
        <v/>
      </c>
    </row>
    <row r="9">
      <c r="B9" s="26" t="inlineStr">
        <is>
          <t>Subtotaal</t>
        </is>
      </c>
      <c r="C9" s="27">
        <f>SUM(C5:C8)</f>
        <v/>
      </c>
      <c r="D9" s="27">
        <f>SUM(D5:D8)</f>
        <v/>
      </c>
      <c r="E9" s="27">
        <f>SUM(E5:E8)</f>
        <v/>
      </c>
    </row>
    <row r="10">
      <c r="G10" s="4" t="inlineStr">
        <is>
          <t>Uitgavenlogboek</t>
        </is>
      </c>
      <c r="I10" s="12" t="inlineStr">
        <is>
          <t>Kies een categorie uit de lijst; het bedrag telt automatisch op bij Variabele uitgaven.</t>
        </is>
      </c>
    </row>
    <row r="11">
      <c r="B11" s="17" t="inlineStr">
        <is>
          <t>B · Vaste lasten</t>
        </is>
      </c>
      <c r="C11" s="23" t="inlineStr">
        <is>
          <t>Begroot</t>
        </is>
      </c>
      <c r="D11" s="23" t="inlineStr">
        <is>
          <t>Werkelijk</t>
        </is>
      </c>
      <c r="E11" s="23" t="inlineStr">
        <is>
          <t>Verschil</t>
        </is>
      </c>
      <c r="G11" s="17" t="inlineStr">
        <is>
          <t>Datum</t>
        </is>
      </c>
      <c r="H11" s="23" t="inlineStr">
        <is>
          <t>Omschrijving</t>
        </is>
      </c>
      <c r="I11" s="23" t="inlineStr">
        <is>
          <t>Categorie</t>
        </is>
      </c>
      <c r="J11" s="23" t="inlineStr">
        <is>
          <t>Bedrag</t>
        </is>
      </c>
    </row>
    <row r="12">
      <c r="B12" s="29">
        <f>Instellingen!$D$9</f>
        <v/>
      </c>
      <c r="C12" s="30" t="n"/>
      <c r="D12" s="30" t="n"/>
      <c r="E12" s="24">
        <f>C12-D12</f>
        <v/>
      </c>
      <c r="G12" s="33" t="n"/>
      <c r="H12" s="14" t="n"/>
      <c r="I12" s="14" t="n"/>
      <c r="J12" s="30" t="n"/>
    </row>
    <row r="13">
      <c r="B13" s="29">
        <f>Instellingen!$D$10</f>
        <v/>
      </c>
      <c r="C13" s="30" t="n"/>
      <c r="D13" s="30" t="n"/>
      <c r="E13" s="24">
        <f>C13-D13</f>
        <v/>
      </c>
      <c r="G13" s="33" t="n"/>
      <c r="H13" s="14" t="n"/>
      <c r="I13" s="14" t="n"/>
      <c r="J13" s="30" t="n"/>
    </row>
    <row r="14">
      <c r="B14" s="29">
        <f>Instellingen!$D$11</f>
        <v/>
      </c>
      <c r="C14" s="30" t="n"/>
      <c r="D14" s="30" t="n"/>
      <c r="E14" s="24">
        <f>C14-D14</f>
        <v/>
      </c>
      <c r="G14" s="33" t="n"/>
      <c r="H14" s="14" t="n"/>
      <c r="I14" s="14" t="n"/>
      <c r="J14" s="30" t="n"/>
    </row>
    <row r="15">
      <c r="B15" s="29">
        <f>Instellingen!$D$12</f>
        <v/>
      </c>
      <c r="C15" s="30" t="n"/>
      <c r="D15" s="30" t="n"/>
      <c r="E15" s="24">
        <f>C15-D15</f>
        <v/>
      </c>
      <c r="G15" s="33" t="n"/>
      <c r="H15" s="14" t="n"/>
      <c r="I15" s="14" t="n"/>
      <c r="J15" s="30" t="n"/>
    </row>
    <row r="16">
      <c r="B16" s="29">
        <f>Instellingen!$D$13</f>
        <v/>
      </c>
      <c r="C16" s="30" t="n"/>
      <c r="D16" s="30" t="n"/>
      <c r="E16" s="24">
        <f>C16-D16</f>
        <v/>
      </c>
      <c r="G16" s="33" t="n"/>
      <c r="H16" s="14" t="n"/>
      <c r="I16" s="14" t="n"/>
      <c r="J16" s="30" t="n"/>
    </row>
    <row r="17">
      <c r="B17" s="29">
        <f>Instellingen!$D$14</f>
        <v/>
      </c>
      <c r="C17" s="30" t="n"/>
      <c r="D17" s="30" t="n"/>
      <c r="E17" s="24">
        <f>C17-D17</f>
        <v/>
      </c>
      <c r="G17" s="33" t="n"/>
      <c r="H17" s="14" t="n"/>
      <c r="I17" s="14" t="n"/>
      <c r="J17" s="30" t="n"/>
    </row>
    <row r="18">
      <c r="B18" s="29">
        <f>Instellingen!$D$15</f>
        <v/>
      </c>
      <c r="C18" s="30" t="n"/>
      <c r="D18" s="30" t="n"/>
      <c r="E18" s="24">
        <f>C18-D18</f>
        <v/>
      </c>
      <c r="G18" s="33" t="n"/>
      <c r="H18" s="14" t="n"/>
      <c r="I18" s="14" t="n"/>
      <c r="J18" s="30" t="n"/>
    </row>
    <row r="19">
      <c r="B19" s="29">
        <f>Instellingen!$D$16</f>
        <v/>
      </c>
      <c r="C19" s="30" t="n"/>
      <c r="D19" s="30" t="n"/>
      <c r="E19" s="24">
        <f>C19-D19</f>
        <v/>
      </c>
      <c r="G19" s="33" t="n"/>
      <c r="H19" s="14" t="n"/>
      <c r="I19" s="14" t="n"/>
      <c r="J19" s="30" t="n"/>
    </row>
    <row r="20">
      <c r="B20" s="29">
        <f>Instellingen!$D$17</f>
        <v/>
      </c>
      <c r="C20" s="30" t="n"/>
      <c r="D20" s="30" t="n"/>
      <c r="E20" s="24">
        <f>C20-D20</f>
        <v/>
      </c>
      <c r="G20" s="33" t="n"/>
      <c r="H20" s="14" t="n"/>
      <c r="I20" s="14" t="n"/>
      <c r="J20" s="30" t="n"/>
    </row>
    <row r="21">
      <c r="B21" s="29">
        <f>Instellingen!$D$18</f>
        <v/>
      </c>
      <c r="C21" s="30" t="n"/>
      <c r="D21" s="30" t="n"/>
      <c r="E21" s="24">
        <f>C21-D21</f>
        <v/>
      </c>
      <c r="G21" s="33" t="n"/>
      <c r="H21" s="14" t="n"/>
      <c r="I21" s="14" t="n"/>
      <c r="J21" s="30" t="n"/>
    </row>
    <row r="22">
      <c r="B22" s="29">
        <f>Instellingen!$D$19</f>
        <v/>
      </c>
      <c r="C22" s="30" t="n"/>
      <c r="D22" s="30" t="n"/>
      <c r="E22" s="24">
        <f>C22-D22</f>
        <v/>
      </c>
      <c r="G22" s="33" t="n"/>
      <c r="H22" s="14" t="n"/>
      <c r="I22" s="14" t="n"/>
      <c r="J22" s="30" t="n"/>
    </row>
    <row r="23">
      <c r="B23" s="29">
        <f>Instellingen!$D$20</f>
        <v/>
      </c>
      <c r="C23" s="30" t="n"/>
      <c r="D23" s="30" t="n"/>
      <c r="E23" s="24">
        <f>C23-D23</f>
        <v/>
      </c>
      <c r="G23" s="33" t="n"/>
      <c r="H23" s="14" t="n"/>
      <c r="I23" s="14" t="n"/>
      <c r="J23" s="30" t="n"/>
    </row>
    <row r="24">
      <c r="B24" s="26" t="inlineStr">
        <is>
          <t>Subtotaal</t>
        </is>
      </c>
      <c r="C24" s="27">
        <f>SUM(C12:C23)</f>
        <v/>
      </c>
      <c r="D24" s="27">
        <f>SUM(D12:D23)</f>
        <v/>
      </c>
      <c r="E24" s="27">
        <f>SUM(E12:E23)</f>
        <v/>
      </c>
      <c r="G24" s="33" t="n"/>
      <c r="H24" s="14" t="n"/>
      <c r="I24" s="14" t="n"/>
      <c r="J24" s="30" t="n"/>
    </row>
    <row r="25">
      <c r="G25" s="33" t="n"/>
      <c r="H25" s="14" t="n"/>
      <c r="I25" s="14" t="n"/>
      <c r="J25" s="30" t="n"/>
    </row>
    <row r="26">
      <c r="B26" s="17" t="inlineStr">
        <is>
          <t>C · Variabele uitgaven</t>
        </is>
      </c>
      <c r="C26" s="23" t="inlineStr">
        <is>
          <t>Begroot</t>
        </is>
      </c>
      <c r="D26" s="23" t="inlineStr">
        <is>
          <t>Werkelijk</t>
        </is>
      </c>
      <c r="E26" s="23" t="inlineStr">
        <is>
          <t>Verschil</t>
        </is>
      </c>
      <c r="G26" s="33" t="n"/>
      <c r="H26" s="14" t="n"/>
      <c r="I26" s="14" t="n"/>
      <c r="J26" s="30" t="n"/>
    </row>
    <row r="27">
      <c r="B27" s="29">
        <f>Instellingen!$F$9</f>
        <v/>
      </c>
      <c r="C27" s="30" t="n"/>
      <c r="D27" s="24">
        <f>SUMIF($I$12:$I$51,B27,$J$12:$J$51)</f>
        <v/>
      </c>
      <c r="E27" s="24">
        <f>C27-D27</f>
        <v/>
      </c>
      <c r="G27" s="33" t="n"/>
      <c r="H27" s="14" t="n"/>
      <c r="I27" s="14" t="n"/>
      <c r="J27" s="30" t="n"/>
    </row>
    <row r="28">
      <c r="B28" s="29">
        <f>Instellingen!$F$10</f>
        <v/>
      </c>
      <c r="C28" s="30" t="n"/>
      <c r="D28" s="24">
        <f>SUMIF($I$12:$I$51,B28,$J$12:$J$51)</f>
        <v/>
      </c>
      <c r="E28" s="24">
        <f>C28-D28</f>
        <v/>
      </c>
      <c r="G28" s="33" t="n"/>
      <c r="H28" s="14" t="n"/>
      <c r="I28" s="14" t="n"/>
      <c r="J28" s="30" t="n"/>
    </row>
    <row r="29">
      <c r="B29" s="29">
        <f>Instellingen!$F$11</f>
        <v/>
      </c>
      <c r="C29" s="30" t="n"/>
      <c r="D29" s="24">
        <f>SUMIF($I$12:$I$51,B29,$J$12:$J$51)</f>
        <v/>
      </c>
      <c r="E29" s="24">
        <f>C29-D29</f>
        <v/>
      </c>
      <c r="G29" s="33" t="n"/>
      <c r="H29" s="14" t="n"/>
      <c r="I29" s="14" t="n"/>
      <c r="J29" s="30" t="n"/>
    </row>
    <row r="30">
      <c r="B30" s="29">
        <f>Instellingen!$F$12</f>
        <v/>
      </c>
      <c r="C30" s="30" t="n"/>
      <c r="D30" s="24">
        <f>SUMIF($I$12:$I$51,B30,$J$12:$J$51)</f>
        <v/>
      </c>
      <c r="E30" s="24">
        <f>C30-D30</f>
        <v/>
      </c>
      <c r="G30" s="33" t="n"/>
      <c r="H30" s="14" t="n"/>
      <c r="I30" s="14" t="n"/>
      <c r="J30" s="30" t="n"/>
    </row>
    <row r="31">
      <c r="B31" s="29">
        <f>Instellingen!$F$13</f>
        <v/>
      </c>
      <c r="C31" s="30" t="n"/>
      <c r="D31" s="24">
        <f>SUMIF($I$12:$I$51,B31,$J$12:$J$51)</f>
        <v/>
      </c>
      <c r="E31" s="24">
        <f>C31-D31</f>
        <v/>
      </c>
      <c r="G31" s="33" t="n"/>
      <c r="H31" s="14" t="n"/>
      <c r="I31" s="14" t="n"/>
      <c r="J31" s="30" t="n"/>
    </row>
    <row r="32">
      <c r="B32" s="29">
        <f>Instellingen!$F$14</f>
        <v/>
      </c>
      <c r="C32" s="30" t="n"/>
      <c r="D32" s="24">
        <f>SUMIF($I$12:$I$51,B32,$J$12:$J$51)</f>
        <v/>
      </c>
      <c r="E32" s="24">
        <f>C32-D32</f>
        <v/>
      </c>
      <c r="G32" s="33" t="n"/>
      <c r="H32" s="14" t="n"/>
      <c r="I32" s="14" t="n"/>
      <c r="J32" s="30" t="n"/>
    </row>
    <row r="33">
      <c r="B33" s="29">
        <f>Instellingen!$F$15</f>
        <v/>
      </c>
      <c r="C33" s="30" t="n"/>
      <c r="D33" s="24">
        <f>SUMIF($I$12:$I$51,B33,$J$12:$J$51)</f>
        <v/>
      </c>
      <c r="E33" s="24">
        <f>C33-D33</f>
        <v/>
      </c>
      <c r="G33" s="33" t="n"/>
      <c r="H33" s="14" t="n"/>
      <c r="I33" s="14" t="n"/>
      <c r="J33" s="30" t="n"/>
    </row>
    <row r="34">
      <c r="B34" s="29">
        <f>Instellingen!$F$16</f>
        <v/>
      </c>
      <c r="C34" s="30" t="n"/>
      <c r="D34" s="24">
        <f>SUMIF($I$12:$I$51,B34,$J$12:$J$51)</f>
        <v/>
      </c>
      <c r="E34" s="24">
        <f>C34-D34</f>
        <v/>
      </c>
      <c r="G34" s="33" t="n"/>
      <c r="H34" s="14" t="n"/>
      <c r="I34" s="14" t="n"/>
      <c r="J34" s="30" t="n"/>
    </row>
    <row r="35">
      <c r="B35" s="29">
        <f>Instellingen!$F$17</f>
        <v/>
      </c>
      <c r="C35" s="30" t="n"/>
      <c r="D35" s="24">
        <f>SUMIF($I$12:$I$51,B35,$J$12:$J$51)</f>
        <v/>
      </c>
      <c r="E35" s="24">
        <f>C35-D35</f>
        <v/>
      </c>
      <c r="G35" s="33" t="n"/>
      <c r="H35" s="14" t="n"/>
      <c r="I35" s="14" t="n"/>
      <c r="J35" s="30" t="n"/>
    </row>
    <row r="36">
      <c r="B36" s="29">
        <f>Instellingen!$F$18</f>
        <v/>
      </c>
      <c r="C36" s="30" t="n"/>
      <c r="D36" s="24">
        <f>SUMIF($I$12:$I$51,B36,$J$12:$J$51)</f>
        <v/>
      </c>
      <c r="E36" s="24">
        <f>C36-D36</f>
        <v/>
      </c>
      <c r="G36" s="33" t="n"/>
      <c r="H36" s="14" t="n"/>
      <c r="I36" s="14" t="n"/>
      <c r="J36" s="30" t="n"/>
    </row>
    <row r="37">
      <c r="B37" s="29">
        <f>Instellingen!$F$19</f>
        <v/>
      </c>
      <c r="C37" s="30" t="n"/>
      <c r="D37" s="24">
        <f>SUMIF($I$12:$I$51,B37,$J$12:$J$51)</f>
        <v/>
      </c>
      <c r="E37" s="24">
        <f>C37-D37</f>
        <v/>
      </c>
      <c r="G37" s="33" t="n"/>
      <c r="H37" s="14" t="n"/>
      <c r="I37" s="14" t="n"/>
      <c r="J37" s="30" t="n"/>
    </row>
    <row r="38">
      <c r="B38" s="26" t="inlineStr">
        <is>
          <t>Subtotaal</t>
        </is>
      </c>
      <c r="C38" s="27">
        <f>SUM(C27:C37)</f>
        <v/>
      </c>
      <c r="D38" s="27">
        <f>SUM(D27:D37)</f>
        <v/>
      </c>
      <c r="E38" s="27">
        <f>SUM(E27:E37)</f>
        <v/>
      </c>
      <c r="G38" s="33" t="n"/>
      <c r="H38" s="14" t="n"/>
      <c r="I38" s="14" t="n"/>
      <c r="J38" s="30" t="n"/>
    </row>
    <row r="39">
      <c r="G39" s="33" t="n"/>
      <c r="H39" s="14" t="n"/>
      <c r="I39" s="14" t="n"/>
      <c r="J39" s="30" t="n"/>
    </row>
    <row r="40">
      <c r="B40" s="17" t="inlineStr">
        <is>
          <t>D · Sparen</t>
        </is>
      </c>
      <c r="C40" s="23" t="inlineStr">
        <is>
          <t>Begroot</t>
        </is>
      </c>
      <c r="D40" s="23" t="inlineStr">
        <is>
          <t>Werkelijk</t>
        </is>
      </c>
      <c r="E40" s="23" t="inlineStr">
        <is>
          <t>Verschil</t>
        </is>
      </c>
      <c r="G40" s="33" t="n"/>
      <c r="H40" s="14" t="n"/>
      <c r="I40" s="14" t="n"/>
      <c r="J40" s="30" t="n"/>
    </row>
    <row r="41">
      <c r="B41" s="29">
        <f>Instellingen!$H$9</f>
        <v/>
      </c>
      <c r="C41" s="30" t="n"/>
      <c r="D41" s="30" t="n"/>
      <c r="E41" s="24">
        <f>D41-C41</f>
        <v/>
      </c>
      <c r="G41" s="33" t="n"/>
      <c r="H41" s="14" t="n"/>
      <c r="I41" s="14" t="n"/>
      <c r="J41" s="30" t="n"/>
    </row>
    <row r="42">
      <c r="B42" s="29">
        <f>Instellingen!$H$10</f>
        <v/>
      </c>
      <c r="C42" s="30" t="n"/>
      <c r="D42" s="30" t="n"/>
      <c r="E42" s="24">
        <f>D42-C42</f>
        <v/>
      </c>
      <c r="G42" s="33" t="n"/>
      <c r="H42" s="14" t="n"/>
      <c r="I42" s="14" t="n"/>
      <c r="J42" s="30" t="n"/>
    </row>
    <row r="43">
      <c r="B43" s="29">
        <f>Instellingen!$H$11</f>
        <v/>
      </c>
      <c r="C43" s="30" t="n"/>
      <c r="D43" s="30" t="n"/>
      <c r="E43" s="24">
        <f>D43-C43</f>
        <v/>
      </c>
      <c r="G43" s="33" t="n"/>
      <c r="H43" s="14" t="n"/>
      <c r="I43" s="14" t="n"/>
      <c r="J43" s="30" t="n"/>
    </row>
    <row r="44">
      <c r="B44" s="29">
        <f>Instellingen!$H$12</f>
        <v/>
      </c>
      <c r="C44" s="30" t="n"/>
      <c r="D44" s="30" t="n"/>
      <c r="E44" s="24">
        <f>D44-C44</f>
        <v/>
      </c>
      <c r="G44" s="33" t="n"/>
      <c r="H44" s="14" t="n"/>
      <c r="I44" s="14" t="n"/>
      <c r="J44" s="30" t="n"/>
    </row>
    <row r="45">
      <c r="B45" s="26" t="inlineStr">
        <is>
          <t>Subtotaal</t>
        </is>
      </c>
      <c r="C45" s="27">
        <f>SUM(C41:C44)</f>
        <v/>
      </c>
      <c r="D45" s="27">
        <f>SUM(D41:D44)</f>
        <v/>
      </c>
      <c r="E45" s="27">
        <f>SUM(E41:E44)</f>
        <v/>
      </c>
      <c r="G45" s="33" t="n"/>
      <c r="H45" s="14" t="n"/>
      <c r="I45" s="14" t="n"/>
      <c r="J45" s="30" t="n"/>
    </row>
    <row r="46">
      <c r="B46" s="12" t="inlineStr">
        <is>
          <t>Werkelijk bij variabele uitgaven wordt automatisch gevuld vanuit het Uitgavenlogboek.</t>
        </is>
      </c>
      <c r="G46" s="33" t="n"/>
      <c r="H46" s="14" t="n"/>
      <c r="I46" s="14" t="n"/>
      <c r="J46" s="30" t="n"/>
    </row>
    <row r="47">
      <c r="G47" s="33" t="n"/>
      <c r="H47" s="14" t="n"/>
      <c r="I47" s="14" t="n"/>
      <c r="J47" s="30" t="n"/>
    </row>
    <row r="48">
      <c r="G48" s="33" t="n"/>
      <c r="H48" s="14" t="n"/>
      <c r="I48" s="14" t="n"/>
      <c r="J48" s="30" t="n"/>
    </row>
    <row r="49">
      <c r="G49" s="33" t="n"/>
      <c r="H49" s="14" t="n"/>
      <c r="I49" s="14" t="n"/>
      <c r="J49" s="30" t="n"/>
    </row>
    <row r="50">
      <c r="G50" s="33" t="n"/>
      <c r="H50" s="14" t="n"/>
      <c r="I50" s="14" t="n"/>
      <c r="J50" s="30" t="n"/>
    </row>
    <row r="51">
      <c r="G51" s="33" t="n"/>
      <c r="H51" s="14" t="n"/>
      <c r="I51" s="14" t="n"/>
      <c r="J51" s="30" t="n"/>
    </row>
    <row r="52">
      <c r="G52" s="26" t="inlineStr">
        <is>
          <t>Totaal logboek</t>
        </is>
      </c>
      <c r="H52" s="34" t="n"/>
      <c r="I52" s="20" t="n"/>
      <c r="J52" s="27">
        <f>SUM(J12:J51)</f>
        <v/>
      </c>
    </row>
  </sheetData>
  <mergeCells count="6">
    <mergeCell ref="G4:H4"/>
    <mergeCell ref="G7:H7"/>
    <mergeCell ref="G5:H5"/>
    <mergeCell ref="G6:H6"/>
    <mergeCell ref="G8:H8"/>
    <mergeCell ref="G52:I52"/>
  </mergeCells>
  <conditionalFormatting sqref="E5:E9">
    <cfRule type="cellIs" priority="1" operator="lessThan" dxfId="0">
      <formula>0</formula>
    </cfRule>
  </conditionalFormatting>
  <conditionalFormatting sqref="E12:E24">
    <cfRule type="cellIs" priority="2" operator="lessThan" dxfId="0">
      <formula>0</formula>
    </cfRule>
  </conditionalFormatting>
  <conditionalFormatting sqref="E27:E38">
    <cfRule type="cellIs" priority="3" operator="lessThan" dxfId="0">
      <formula>0</formula>
    </cfRule>
  </conditionalFormatting>
  <conditionalFormatting sqref="E41:E45">
    <cfRule type="cellIs" priority="4" operator="lessThan" dxfId="0">
      <formula>0</formula>
    </cfRule>
  </conditionalFormatting>
  <conditionalFormatting sqref="I8:J8">
    <cfRule type="cellIs" priority="5" operator="lessThan" dxfId="0">
      <formula>0</formula>
    </cfRule>
  </conditionalFormatting>
  <dataValidations count="1">
    <dataValidation sqref="I12:I51" showDropDown="0" showInputMessage="0" showErrorMessage="1" allowBlank="1" errorTitle="Onbekende categorie" error="Kies een categorie uit de lijst (aanpassen kan op het tabblad Instellingen)." type="list">
      <formula1>=Instellingen!$F$9:$F$19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F7A61"/>
    <outlinePr summaryBelow="1" summaryRight="1"/>
    <pageSetUpPr/>
  </sheetPr>
  <dimension ref="B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3" customWidth="1" min="6" max="6"/>
    <col width="14" customWidth="1" min="7" max="7"/>
    <col width="32" customWidth="1" min="8" max="8"/>
    <col width="26" customWidth="1" min="9" max="9"/>
    <col width="14" customWidth="1" min="10" max="10"/>
  </cols>
  <sheetData>
    <row r="1">
      <c r="B1" s="1" t="inlineStr">
        <is>
          <t>Plannerij</t>
        </is>
      </c>
    </row>
    <row r="2" ht="30" customHeight="1">
      <c r="B2" s="2" t="inlineStr">
        <is>
          <t>Oktober</t>
        </is>
      </c>
    </row>
    <row r="3">
      <c r="B3" s="3">
        <f>IF(Instellingen!$C$5="","",Instellingen!$C$5)</f>
        <v/>
      </c>
    </row>
    <row r="4">
      <c r="B4" s="17" t="inlineStr">
        <is>
          <t>A · Inkomen</t>
        </is>
      </c>
      <c r="C4" s="23" t="inlineStr">
        <is>
          <t>Begroot</t>
        </is>
      </c>
      <c r="D4" s="23" t="inlineStr">
        <is>
          <t>Werkelijk</t>
        </is>
      </c>
      <c r="E4" s="23" t="inlineStr">
        <is>
          <t>Verschil</t>
        </is>
      </c>
      <c r="G4" s="17" t="inlineStr">
        <is>
          <t>Samenvatting</t>
        </is>
      </c>
      <c r="H4" s="20" t="n"/>
      <c r="I4" s="23" t="inlineStr">
        <is>
          <t>Begroot</t>
        </is>
      </c>
      <c r="J4" s="23" t="inlineStr">
        <is>
          <t>Werkelijk</t>
        </is>
      </c>
    </row>
    <row r="5">
      <c r="B5" s="29">
        <f>Instellingen!$B$9</f>
        <v/>
      </c>
      <c r="C5" s="30" t="n"/>
      <c r="D5" s="30" t="n"/>
      <c r="E5" s="24">
        <f>D5-C5</f>
        <v/>
      </c>
      <c r="G5" s="31" t="inlineStr">
        <is>
          <t>Totaal inkomen</t>
        </is>
      </c>
      <c r="H5" s="20" t="n"/>
      <c r="I5" s="32">
        <f>C9</f>
        <v/>
      </c>
      <c r="J5" s="32">
        <f>D9</f>
        <v/>
      </c>
    </row>
    <row r="6">
      <c r="B6" s="29">
        <f>Instellingen!$B$10</f>
        <v/>
      </c>
      <c r="C6" s="30" t="n"/>
      <c r="D6" s="30" t="n"/>
      <c r="E6" s="24">
        <f>D6-C6</f>
        <v/>
      </c>
      <c r="G6" s="31" t="inlineStr">
        <is>
          <t>Totaal uitgaven</t>
        </is>
      </c>
      <c r="H6" s="20" t="n"/>
      <c r="I6" s="32">
        <f>C24+C38</f>
        <v/>
      </c>
      <c r="J6" s="32">
        <f>D24+D38</f>
        <v/>
      </c>
    </row>
    <row r="7">
      <c r="B7" s="29">
        <f>Instellingen!$B$11</f>
        <v/>
      </c>
      <c r="C7" s="30" t="n"/>
      <c r="D7" s="30" t="n"/>
      <c r="E7" s="24">
        <f>D7-C7</f>
        <v/>
      </c>
      <c r="G7" s="31" t="inlineStr">
        <is>
          <t>Gespaard</t>
        </is>
      </c>
      <c r="H7" s="20" t="n"/>
      <c r="I7" s="32">
        <f>C45</f>
        <v/>
      </c>
      <c r="J7" s="32">
        <f>D45</f>
        <v/>
      </c>
    </row>
    <row r="8">
      <c r="B8" s="29">
        <f>Instellingen!$B$12</f>
        <v/>
      </c>
      <c r="C8" s="30" t="n"/>
      <c r="D8" s="30" t="n"/>
      <c r="E8" s="24">
        <f>D8-C8</f>
        <v/>
      </c>
      <c r="G8" s="26" t="inlineStr">
        <is>
          <t>Over / tekort</t>
        </is>
      </c>
      <c r="H8" s="20" t="n"/>
      <c r="I8" s="27">
        <f>I5-I6-I7</f>
        <v/>
      </c>
      <c r="J8" s="27">
        <f>J5-J6-J7</f>
        <v/>
      </c>
    </row>
    <row r="9">
      <c r="B9" s="26" t="inlineStr">
        <is>
          <t>Subtotaal</t>
        </is>
      </c>
      <c r="C9" s="27">
        <f>SUM(C5:C8)</f>
        <v/>
      </c>
      <c r="D9" s="27">
        <f>SUM(D5:D8)</f>
        <v/>
      </c>
      <c r="E9" s="27">
        <f>SUM(E5:E8)</f>
        <v/>
      </c>
    </row>
    <row r="10">
      <c r="G10" s="4" t="inlineStr">
        <is>
          <t>Uitgavenlogboek</t>
        </is>
      </c>
      <c r="I10" s="12" t="inlineStr">
        <is>
          <t>Kies een categorie uit de lijst; het bedrag telt automatisch op bij Variabele uitgaven.</t>
        </is>
      </c>
    </row>
    <row r="11">
      <c r="B11" s="17" t="inlineStr">
        <is>
          <t>B · Vaste lasten</t>
        </is>
      </c>
      <c r="C11" s="23" t="inlineStr">
        <is>
          <t>Begroot</t>
        </is>
      </c>
      <c r="D11" s="23" t="inlineStr">
        <is>
          <t>Werkelijk</t>
        </is>
      </c>
      <c r="E11" s="23" t="inlineStr">
        <is>
          <t>Verschil</t>
        </is>
      </c>
      <c r="G11" s="17" t="inlineStr">
        <is>
          <t>Datum</t>
        </is>
      </c>
      <c r="H11" s="23" t="inlineStr">
        <is>
          <t>Omschrijving</t>
        </is>
      </c>
      <c r="I11" s="23" t="inlineStr">
        <is>
          <t>Categorie</t>
        </is>
      </c>
      <c r="J11" s="23" t="inlineStr">
        <is>
          <t>Bedrag</t>
        </is>
      </c>
    </row>
    <row r="12">
      <c r="B12" s="29">
        <f>Instellingen!$D$9</f>
        <v/>
      </c>
      <c r="C12" s="30" t="n"/>
      <c r="D12" s="30" t="n"/>
      <c r="E12" s="24">
        <f>C12-D12</f>
        <v/>
      </c>
      <c r="G12" s="33" t="n"/>
      <c r="H12" s="14" t="n"/>
      <c r="I12" s="14" t="n"/>
      <c r="J12" s="30" t="n"/>
    </row>
    <row r="13">
      <c r="B13" s="29">
        <f>Instellingen!$D$10</f>
        <v/>
      </c>
      <c r="C13" s="30" t="n"/>
      <c r="D13" s="30" t="n"/>
      <c r="E13" s="24">
        <f>C13-D13</f>
        <v/>
      </c>
      <c r="G13" s="33" t="n"/>
      <c r="H13" s="14" t="n"/>
      <c r="I13" s="14" t="n"/>
      <c r="J13" s="30" t="n"/>
    </row>
    <row r="14">
      <c r="B14" s="29">
        <f>Instellingen!$D$11</f>
        <v/>
      </c>
      <c r="C14" s="30" t="n"/>
      <c r="D14" s="30" t="n"/>
      <c r="E14" s="24">
        <f>C14-D14</f>
        <v/>
      </c>
      <c r="G14" s="33" t="n"/>
      <c r="H14" s="14" t="n"/>
      <c r="I14" s="14" t="n"/>
      <c r="J14" s="30" t="n"/>
    </row>
    <row r="15">
      <c r="B15" s="29">
        <f>Instellingen!$D$12</f>
        <v/>
      </c>
      <c r="C15" s="30" t="n"/>
      <c r="D15" s="30" t="n"/>
      <c r="E15" s="24">
        <f>C15-D15</f>
        <v/>
      </c>
      <c r="G15" s="33" t="n"/>
      <c r="H15" s="14" t="n"/>
      <c r="I15" s="14" t="n"/>
      <c r="J15" s="30" t="n"/>
    </row>
    <row r="16">
      <c r="B16" s="29">
        <f>Instellingen!$D$13</f>
        <v/>
      </c>
      <c r="C16" s="30" t="n"/>
      <c r="D16" s="30" t="n"/>
      <c r="E16" s="24">
        <f>C16-D16</f>
        <v/>
      </c>
      <c r="G16" s="33" t="n"/>
      <c r="H16" s="14" t="n"/>
      <c r="I16" s="14" t="n"/>
      <c r="J16" s="30" t="n"/>
    </row>
    <row r="17">
      <c r="B17" s="29">
        <f>Instellingen!$D$14</f>
        <v/>
      </c>
      <c r="C17" s="30" t="n"/>
      <c r="D17" s="30" t="n"/>
      <c r="E17" s="24">
        <f>C17-D17</f>
        <v/>
      </c>
      <c r="G17" s="33" t="n"/>
      <c r="H17" s="14" t="n"/>
      <c r="I17" s="14" t="n"/>
      <c r="J17" s="30" t="n"/>
    </row>
    <row r="18">
      <c r="B18" s="29">
        <f>Instellingen!$D$15</f>
        <v/>
      </c>
      <c r="C18" s="30" t="n"/>
      <c r="D18" s="30" t="n"/>
      <c r="E18" s="24">
        <f>C18-D18</f>
        <v/>
      </c>
      <c r="G18" s="33" t="n"/>
      <c r="H18" s="14" t="n"/>
      <c r="I18" s="14" t="n"/>
      <c r="J18" s="30" t="n"/>
    </row>
    <row r="19">
      <c r="B19" s="29">
        <f>Instellingen!$D$16</f>
        <v/>
      </c>
      <c r="C19" s="30" t="n"/>
      <c r="D19" s="30" t="n"/>
      <c r="E19" s="24">
        <f>C19-D19</f>
        <v/>
      </c>
      <c r="G19" s="33" t="n"/>
      <c r="H19" s="14" t="n"/>
      <c r="I19" s="14" t="n"/>
      <c r="J19" s="30" t="n"/>
    </row>
    <row r="20">
      <c r="B20" s="29">
        <f>Instellingen!$D$17</f>
        <v/>
      </c>
      <c r="C20" s="30" t="n"/>
      <c r="D20" s="30" t="n"/>
      <c r="E20" s="24">
        <f>C20-D20</f>
        <v/>
      </c>
      <c r="G20" s="33" t="n"/>
      <c r="H20" s="14" t="n"/>
      <c r="I20" s="14" t="n"/>
      <c r="J20" s="30" t="n"/>
    </row>
    <row r="21">
      <c r="B21" s="29">
        <f>Instellingen!$D$18</f>
        <v/>
      </c>
      <c r="C21" s="30" t="n"/>
      <c r="D21" s="30" t="n"/>
      <c r="E21" s="24">
        <f>C21-D21</f>
        <v/>
      </c>
      <c r="G21" s="33" t="n"/>
      <c r="H21" s="14" t="n"/>
      <c r="I21" s="14" t="n"/>
      <c r="J21" s="30" t="n"/>
    </row>
    <row r="22">
      <c r="B22" s="29">
        <f>Instellingen!$D$19</f>
        <v/>
      </c>
      <c r="C22" s="30" t="n"/>
      <c r="D22" s="30" t="n"/>
      <c r="E22" s="24">
        <f>C22-D22</f>
        <v/>
      </c>
      <c r="G22" s="33" t="n"/>
      <c r="H22" s="14" t="n"/>
      <c r="I22" s="14" t="n"/>
      <c r="J22" s="30" t="n"/>
    </row>
    <row r="23">
      <c r="B23" s="29">
        <f>Instellingen!$D$20</f>
        <v/>
      </c>
      <c r="C23" s="30" t="n"/>
      <c r="D23" s="30" t="n"/>
      <c r="E23" s="24">
        <f>C23-D23</f>
        <v/>
      </c>
      <c r="G23" s="33" t="n"/>
      <c r="H23" s="14" t="n"/>
      <c r="I23" s="14" t="n"/>
      <c r="J23" s="30" t="n"/>
    </row>
    <row r="24">
      <c r="B24" s="26" t="inlineStr">
        <is>
          <t>Subtotaal</t>
        </is>
      </c>
      <c r="C24" s="27">
        <f>SUM(C12:C23)</f>
        <v/>
      </c>
      <c r="D24" s="27">
        <f>SUM(D12:D23)</f>
        <v/>
      </c>
      <c r="E24" s="27">
        <f>SUM(E12:E23)</f>
        <v/>
      </c>
      <c r="G24" s="33" t="n"/>
      <c r="H24" s="14" t="n"/>
      <c r="I24" s="14" t="n"/>
      <c r="J24" s="30" t="n"/>
    </row>
    <row r="25">
      <c r="G25" s="33" t="n"/>
      <c r="H25" s="14" t="n"/>
      <c r="I25" s="14" t="n"/>
      <c r="J25" s="30" t="n"/>
    </row>
    <row r="26">
      <c r="B26" s="17" t="inlineStr">
        <is>
          <t>C · Variabele uitgaven</t>
        </is>
      </c>
      <c r="C26" s="23" t="inlineStr">
        <is>
          <t>Begroot</t>
        </is>
      </c>
      <c r="D26" s="23" t="inlineStr">
        <is>
          <t>Werkelijk</t>
        </is>
      </c>
      <c r="E26" s="23" t="inlineStr">
        <is>
          <t>Verschil</t>
        </is>
      </c>
      <c r="G26" s="33" t="n"/>
      <c r="H26" s="14" t="n"/>
      <c r="I26" s="14" t="n"/>
      <c r="J26" s="30" t="n"/>
    </row>
    <row r="27">
      <c r="B27" s="29">
        <f>Instellingen!$F$9</f>
        <v/>
      </c>
      <c r="C27" s="30" t="n"/>
      <c r="D27" s="24">
        <f>SUMIF($I$12:$I$51,B27,$J$12:$J$51)</f>
        <v/>
      </c>
      <c r="E27" s="24">
        <f>C27-D27</f>
        <v/>
      </c>
      <c r="G27" s="33" t="n"/>
      <c r="H27" s="14" t="n"/>
      <c r="I27" s="14" t="n"/>
      <c r="J27" s="30" t="n"/>
    </row>
    <row r="28">
      <c r="B28" s="29">
        <f>Instellingen!$F$10</f>
        <v/>
      </c>
      <c r="C28" s="30" t="n"/>
      <c r="D28" s="24">
        <f>SUMIF($I$12:$I$51,B28,$J$12:$J$51)</f>
        <v/>
      </c>
      <c r="E28" s="24">
        <f>C28-D28</f>
        <v/>
      </c>
      <c r="G28" s="33" t="n"/>
      <c r="H28" s="14" t="n"/>
      <c r="I28" s="14" t="n"/>
      <c r="J28" s="30" t="n"/>
    </row>
    <row r="29">
      <c r="B29" s="29">
        <f>Instellingen!$F$11</f>
        <v/>
      </c>
      <c r="C29" s="30" t="n"/>
      <c r="D29" s="24">
        <f>SUMIF($I$12:$I$51,B29,$J$12:$J$51)</f>
        <v/>
      </c>
      <c r="E29" s="24">
        <f>C29-D29</f>
        <v/>
      </c>
      <c r="G29" s="33" t="n"/>
      <c r="H29" s="14" t="n"/>
      <c r="I29" s="14" t="n"/>
      <c r="J29" s="30" t="n"/>
    </row>
    <row r="30">
      <c r="B30" s="29">
        <f>Instellingen!$F$12</f>
        <v/>
      </c>
      <c r="C30" s="30" t="n"/>
      <c r="D30" s="24">
        <f>SUMIF($I$12:$I$51,B30,$J$12:$J$51)</f>
        <v/>
      </c>
      <c r="E30" s="24">
        <f>C30-D30</f>
        <v/>
      </c>
      <c r="G30" s="33" t="n"/>
      <c r="H30" s="14" t="n"/>
      <c r="I30" s="14" t="n"/>
      <c r="J30" s="30" t="n"/>
    </row>
    <row r="31">
      <c r="B31" s="29">
        <f>Instellingen!$F$13</f>
        <v/>
      </c>
      <c r="C31" s="30" t="n"/>
      <c r="D31" s="24">
        <f>SUMIF($I$12:$I$51,B31,$J$12:$J$51)</f>
        <v/>
      </c>
      <c r="E31" s="24">
        <f>C31-D31</f>
        <v/>
      </c>
      <c r="G31" s="33" t="n"/>
      <c r="H31" s="14" t="n"/>
      <c r="I31" s="14" t="n"/>
      <c r="J31" s="30" t="n"/>
    </row>
    <row r="32">
      <c r="B32" s="29">
        <f>Instellingen!$F$14</f>
        <v/>
      </c>
      <c r="C32" s="30" t="n"/>
      <c r="D32" s="24">
        <f>SUMIF($I$12:$I$51,B32,$J$12:$J$51)</f>
        <v/>
      </c>
      <c r="E32" s="24">
        <f>C32-D32</f>
        <v/>
      </c>
      <c r="G32" s="33" t="n"/>
      <c r="H32" s="14" t="n"/>
      <c r="I32" s="14" t="n"/>
      <c r="J32" s="30" t="n"/>
    </row>
    <row r="33">
      <c r="B33" s="29">
        <f>Instellingen!$F$15</f>
        <v/>
      </c>
      <c r="C33" s="30" t="n"/>
      <c r="D33" s="24">
        <f>SUMIF($I$12:$I$51,B33,$J$12:$J$51)</f>
        <v/>
      </c>
      <c r="E33" s="24">
        <f>C33-D33</f>
        <v/>
      </c>
      <c r="G33" s="33" t="n"/>
      <c r="H33" s="14" t="n"/>
      <c r="I33" s="14" t="n"/>
      <c r="J33" s="30" t="n"/>
    </row>
    <row r="34">
      <c r="B34" s="29">
        <f>Instellingen!$F$16</f>
        <v/>
      </c>
      <c r="C34" s="30" t="n"/>
      <c r="D34" s="24">
        <f>SUMIF($I$12:$I$51,B34,$J$12:$J$51)</f>
        <v/>
      </c>
      <c r="E34" s="24">
        <f>C34-D34</f>
        <v/>
      </c>
      <c r="G34" s="33" t="n"/>
      <c r="H34" s="14" t="n"/>
      <c r="I34" s="14" t="n"/>
      <c r="J34" s="30" t="n"/>
    </row>
    <row r="35">
      <c r="B35" s="29">
        <f>Instellingen!$F$17</f>
        <v/>
      </c>
      <c r="C35" s="30" t="n"/>
      <c r="D35" s="24">
        <f>SUMIF($I$12:$I$51,B35,$J$12:$J$51)</f>
        <v/>
      </c>
      <c r="E35" s="24">
        <f>C35-D35</f>
        <v/>
      </c>
      <c r="G35" s="33" t="n"/>
      <c r="H35" s="14" t="n"/>
      <c r="I35" s="14" t="n"/>
      <c r="J35" s="30" t="n"/>
    </row>
    <row r="36">
      <c r="B36" s="29">
        <f>Instellingen!$F$18</f>
        <v/>
      </c>
      <c r="C36" s="30" t="n"/>
      <c r="D36" s="24">
        <f>SUMIF($I$12:$I$51,B36,$J$12:$J$51)</f>
        <v/>
      </c>
      <c r="E36" s="24">
        <f>C36-D36</f>
        <v/>
      </c>
      <c r="G36" s="33" t="n"/>
      <c r="H36" s="14" t="n"/>
      <c r="I36" s="14" t="n"/>
      <c r="J36" s="30" t="n"/>
    </row>
    <row r="37">
      <c r="B37" s="29">
        <f>Instellingen!$F$19</f>
        <v/>
      </c>
      <c r="C37" s="30" t="n"/>
      <c r="D37" s="24">
        <f>SUMIF($I$12:$I$51,B37,$J$12:$J$51)</f>
        <v/>
      </c>
      <c r="E37" s="24">
        <f>C37-D37</f>
        <v/>
      </c>
      <c r="G37" s="33" t="n"/>
      <c r="H37" s="14" t="n"/>
      <c r="I37" s="14" t="n"/>
      <c r="J37" s="30" t="n"/>
    </row>
    <row r="38">
      <c r="B38" s="26" t="inlineStr">
        <is>
          <t>Subtotaal</t>
        </is>
      </c>
      <c r="C38" s="27">
        <f>SUM(C27:C37)</f>
        <v/>
      </c>
      <c r="D38" s="27">
        <f>SUM(D27:D37)</f>
        <v/>
      </c>
      <c r="E38" s="27">
        <f>SUM(E27:E37)</f>
        <v/>
      </c>
      <c r="G38" s="33" t="n"/>
      <c r="H38" s="14" t="n"/>
      <c r="I38" s="14" t="n"/>
      <c r="J38" s="30" t="n"/>
    </row>
    <row r="39">
      <c r="G39" s="33" t="n"/>
      <c r="H39" s="14" t="n"/>
      <c r="I39" s="14" t="n"/>
      <c r="J39" s="30" t="n"/>
    </row>
    <row r="40">
      <c r="B40" s="17" t="inlineStr">
        <is>
          <t>D · Sparen</t>
        </is>
      </c>
      <c r="C40" s="23" t="inlineStr">
        <is>
          <t>Begroot</t>
        </is>
      </c>
      <c r="D40" s="23" t="inlineStr">
        <is>
          <t>Werkelijk</t>
        </is>
      </c>
      <c r="E40" s="23" t="inlineStr">
        <is>
          <t>Verschil</t>
        </is>
      </c>
      <c r="G40" s="33" t="n"/>
      <c r="H40" s="14" t="n"/>
      <c r="I40" s="14" t="n"/>
      <c r="J40" s="30" t="n"/>
    </row>
    <row r="41">
      <c r="B41" s="29">
        <f>Instellingen!$H$9</f>
        <v/>
      </c>
      <c r="C41" s="30" t="n"/>
      <c r="D41" s="30" t="n"/>
      <c r="E41" s="24">
        <f>D41-C41</f>
        <v/>
      </c>
      <c r="G41" s="33" t="n"/>
      <c r="H41" s="14" t="n"/>
      <c r="I41" s="14" t="n"/>
      <c r="J41" s="30" t="n"/>
    </row>
    <row r="42">
      <c r="B42" s="29">
        <f>Instellingen!$H$10</f>
        <v/>
      </c>
      <c r="C42" s="30" t="n"/>
      <c r="D42" s="30" t="n"/>
      <c r="E42" s="24">
        <f>D42-C42</f>
        <v/>
      </c>
      <c r="G42" s="33" t="n"/>
      <c r="H42" s="14" t="n"/>
      <c r="I42" s="14" t="n"/>
      <c r="J42" s="30" t="n"/>
    </row>
    <row r="43">
      <c r="B43" s="29">
        <f>Instellingen!$H$11</f>
        <v/>
      </c>
      <c r="C43" s="30" t="n"/>
      <c r="D43" s="30" t="n"/>
      <c r="E43" s="24">
        <f>D43-C43</f>
        <v/>
      </c>
      <c r="G43" s="33" t="n"/>
      <c r="H43" s="14" t="n"/>
      <c r="I43" s="14" t="n"/>
      <c r="J43" s="30" t="n"/>
    </row>
    <row r="44">
      <c r="B44" s="29">
        <f>Instellingen!$H$12</f>
        <v/>
      </c>
      <c r="C44" s="30" t="n"/>
      <c r="D44" s="30" t="n"/>
      <c r="E44" s="24">
        <f>D44-C44</f>
        <v/>
      </c>
      <c r="G44" s="33" t="n"/>
      <c r="H44" s="14" t="n"/>
      <c r="I44" s="14" t="n"/>
      <c r="J44" s="30" t="n"/>
    </row>
    <row r="45">
      <c r="B45" s="26" t="inlineStr">
        <is>
          <t>Subtotaal</t>
        </is>
      </c>
      <c r="C45" s="27">
        <f>SUM(C41:C44)</f>
        <v/>
      </c>
      <c r="D45" s="27">
        <f>SUM(D41:D44)</f>
        <v/>
      </c>
      <c r="E45" s="27">
        <f>SUM(E41:E44)</f>
        <v/>
      </c>
      <c r="G45" s="33" t="n"/>
      <c r="H45" s="14" t="n"/>
      <c r="I45" s="14" t="n"/>
      <c r="J45" s="30" t="n"/>
    </row>
    <row r="46">
      <c r="B46" s="12" t="inlineStr">
        <is>
          <t>Werkelijk bij variabele uitgaven wordt automatisch gevuld vanuit het Uitgavenlogboek.</t>
        </is>
      </c>
      <c r="G46" s="33" t="n"/>
      <c r="H46" s="14" t="n"/>
      <c r="I46" s="14" t="n"/>
      <c r="J46" s="30" t="n"/>
    </row>
    <row r="47">
      <c r="G47" s="33" t="n"/>
      <c r="H47" s="14" t="n"/>
      <c r="I47" s="14" t="n"/>
      <c r="J47" s="30" t="n"/>
    </row>
    <row r="48">
      <c r="G48" s="33" t="n"/>
      <c r="H48" s="14" t="n"/>
      <c r="I48" s="14" t="n"/>
      <c r="J48" s="30" t="n"/>
    </row>
    <row r="49">
      <c r="G49" s="33" t="n"/>
      <c r="H49" s="14" t="n"/>
      <c r="I49" s="14" t="n"/>
      <c r="J49" s="30" t="n"/>
    </row>
    <row r="50">
      <c r="G50" s="33" t="n"/>
      <c r="H50" s="14" t="n"/>
      <c r="I50" s="14" t="n"/>
      <c r="J50" s="30" t="n"/>
    </row>
    <row r="51">
      <c r="G51" s="33" t="n"/>
      <c r="H51" s="14" t="n"/>
      <c r="I51" s="14" t="n"/>
      <c r="J51" s="30" t="n"/>
    </row>
    <row r="52">
      <c r="G52" s="26" t="inlineStr">
        <is>
          <t>Totaal logboek</t>
        </is>
      </c>
      <c r="H52" s="34" t="n"/>
      <c r="I52" s="20" t="n"/>
      <c r="J52" s="27">
        <f>SUM(J12:J51)</f>
        <v/>
      </c>
    </row>
  </sheetData>
  <mergeCells count="6">
    <mergeCell ref="G4:H4"/>
    <mergeCell ref="G7:H7"/>
    <mergeCell ref="G5:H5"/>
    <mergeCell ref="G6:H6"/>
    <mergeCell ref="G8:H8"/>
    <mergeCell ref="G52:I52"/>
  </mergeCells>
  <conditionalFormatting sqref="E5:E9">
    <cfRule type="cellIs" priority="1" operator="lessThan" dxfId="0">
      <formula>0</formula>
    </cfRule>
  </conditionalFormatting>
  <conditionalFormatting sqref="E12:E24">
    <cfRule type="cellIs" priority="2" operator="lessThan" dxfId="0">
      <formula>0</formula>
    </cfRule>
  </conditionalFormatting>
  <conditionalFormatting sqref="E27:E38">
    <cfRule type="cellIs" priority="3" operator="lessThan" dxfId="0">
      <formula>0</formula>
    </cfRule>
  </conditionalFormatting>
  <conditionalFormatting sqref="E41:E45">
    <cfRule type="cellIs" priority="4" operator="lessThan" dxfId="0">
      <formula>0</formula>
    </cfRule>
  </conditionalFormatting>
  <conditionalFormatting sqref="I8:J8">
    <cfRule type="cellIs" priority="5" operator="lessThan" dxfId="0">
      <formula>0</formula>
    </cfRule>
  </conditionalFormatting>
  <dataValidations count="1">
    <dataValidation sqref="I12:I51" showDropDown="0" showInputMessage="0" showErrorMessage="1" allowBlank="1" errorTitle="Onbekende categorie" error="Kies een categorie uit de lijst (aanpassen kan op het tabblad Instellingen)." type="list">
      <formula1>=Instellingen!$F$9:$F$19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F7A61"/>
    <outlinePr summaryBelow="1" summaryRight="1"/>
    <pageSetUpPr/>
  </sheetPr>
  <dimension ref="B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3" customWidth="1" min="6" max="6"/>
    <col width="14" customWidth="1" min="7" max="7"/>
    <col width="32" customWidth="1" min="8" max="8"/>
    <col width="26" customWidth="1" min="9" max="9"/>
    <col width="14" customWidth="1" min="10" max="10"/>
  </cols>
  <sheetData>
    <row r="1">
      <c r="B1" s="1" t="inlineStr">
        <is>
          <t>Plannerij</t>
        </is>
      </c>
    </row>
    <row r="2" ht="30" customHeight="1">
      <c r="B2" s="2" t="inlineStr">
        <is>
          <t>November</t>
        </is>
      </c>
    </row>
    <row r="3">
      <c r="B3" s="3">
        <f>IF(Instellingen!$C$5="","",Instellingen!$C$5)</f>
        <v/>
      </c>
    </row>
    <row r="4">
      <c r="B4" s="17" t="inlineStr">
        <is>
          <t>A · Inkomen</t>
        </is>
      </c>
      <c r="C4" s="23" t="inlineStr">
        <is>
          <t>Begroot</t>
        </is>
      </c>
      <c r="D4" s="23" t="inlineStr">
        <is>
          <t>Werkelijk</t>
        </is>
      </c>
      <c r="E4" s="23" t="inlineStr">
        <is>
          <t>Verschil</t>
        </is>
      </c>
      <c r="G4" s="17" t="inlineStr">
        <is>
          <t>Samenvatting</t>
        </is>
      </c>
      <c r="H4" s="20" t="n"/>
      <c r="I4" s="23" t="inlineStr">
        <is>
          <t>Begroot</t>
        </is>
      </c>
      <c r="J4" s="23" t="inlineStr">
        <is>
          <t>Werkelijk</t>
        </is>
      </c>
    </row>
    <row r="5">
      <c r="B5" s="29">
        <f>Instellingen!$B$9</f>
        <v/>
      </c>
      <c r="C5" s="30" t="n"/>
      <c r="D5" s="30" t="n"/>
      <c r="E5" s="24">
        <f>D5-C5</f>
        <v/>
      </c>
      <c r="G5" s="31" t="inlineStr">
        <is>
          <t>Totaal inkomen</t>
        </is>
      </c>
      <c r="H5" s="20" t="n"/>
      <c r="I5" s="32">
        <f>C9</f>
        <v/>
      </c>
      <c r="J5" s="32">
        <f>D9</f>
        <v/>
      </c>
    </row>
    <row r="6">
      <c r="B6" s="29">
        <f>Instellingen!$B$10</f>
        <v/>
      </c>
      <c r="C6" s="30" t="n"/>
      <c r="D6" s="30" t="n"/>
      <c r="E6" s="24">
        <f>D6-C6</f>
        <v/>
      </c>
      <c r="G6" s="31" t="inlineStr">
        <is>
          <t>Totaal uitgaven</t>
        </is>
      </c>
      <c r="H6" s="20" t="n"/>
      <c r="I6" s="32">
        <f>C24+C38</f>
        <v/>
      </c>
      <c r="J6" s="32">
        <f>D24+D38</f>
        <v/>
      </c>
    </row>
    <row r="7">
      <c r="B7" s="29">
        <f>Instellingen!$B$11</f>
        <v/>
      </c>
      <c r="C7" s="30" t="n"/>
      <c r="D7" s="30" t="n"/>
      <c r="E7" s="24">
        <f>D7-C7</f>
        <v/>
      </c>
      <c r="G7" s="31" t="inlineStr">
        <is>
          <t>Gespaard</t>
        </is>
      </c>
      <c r="H7" s="20" t="n"/>
      <c r="I7" s="32">
        <f>C45</f>
        <v/>
      </c>
      <c r="J7" s="32">
        <f>D45</f>
        <v/>
      </c>
    </row>
    <row r="8">
      <c r="B8" s="29">
        <f>Instellingen!$B$12</f>
        <v/>
      </c>
      <c r="C8" s="30" t="n"/>
      <c r="D8" s="30" t="n"/>
      <c r="E8" s="24">
        <f>D8-C8</f>
        <v/>
      </c>
      <c r="G8" s="26" t="inlineStr">
        <is>
          <t>Over / tekort</t>
        </is>
      </c>
      <c r="H8" s="20" t="n"/>
      <c r="I8" s="27">
        <f>I5-I6-I7</f>
        <v/>
      </c>
      <c r="J8" s="27">
        <f>J5-J6-J7</f>
        <v/>
      </c>
    </row>
    <row r="9">
      <c r="B9" s="26" t="inlineStr">
        <is>
          <t>Subtotaal</t>
        </is>
      </c>
      <c r="C9" s="27">
        <f>SUM(C5:C8)</f>
        <v/>
      </c>
      <c r="D9" s="27">
        <f>SUM(D5:D8)</f>
        <v/>
      </c>
      <c r="E9" s="27">
        <f>SUM(E5:E8)</f>
        <v/>
      </c>
    </row>
    <row r="10">
      <c r="G10" s="4" t="inlineStr">
        <is>
          <t>Uitgavenlogboek</t>
        </is>
      </c>
      <c r="I10" s="12" t="inlineStr">
        <is>
          <t>Kies een categorie uit de lijst; het bedrag telt automatisch op bij Variabele uitgaven.</t>
        </is>
      </c>
    </row>
    <row r="11">
      <c r="B11" s="17" t="inlineStr">
        <is>
          <t>B · Vaste lasten</t>
        </is>
      </c>
      <c r="C11" s="23" t="inlineStr">
        <is>
          <t>Begroot</t>
        </is>
      </c>
      <c r="D11" s="23" t="inlineStr">
        <is>
          <t>Werkelijk</t>
        </is>
      </c>
      <c r="E11" s="23" t="inlineStr">
        <is>
          <t>Verschil</t>
        </is>
      </c>
      <c r="G11" s="17" t="inlineStr">
        <is>
          <t>Datum</t>
        </is>
      </c>
      <c r="H11" s="23" t="inlineStr">
        <is>
          <t>Omschrijving</t>
        </is>
      </c>
      <c r="I11" s="23" t="inlineStr">
        <is>
          <t>Categorie</t>
        </is>
      </c>
      <c r="J11" s="23" t="inlineStr">
        <is>
          <t>Bedrag</t>
        </is>
      </c>
    </row>
    <row r="12">
      <c r="B12" s="29">
        <f>Instellingen!$D$9</f>
        <v/>
      </c>
      <c r="C12" s="30" t="n"/>
      <c r="D12" s="30" t="n"/>
      <c r="E12" s="24">
        <f>C12-D12</f>
        <v/>
      </c>
      <c r="G12" s="33" t="n"/>
      <c r="H12" s="14" t="n"/>
      <c r="I12" s="14" t="n"/>
      <c r="J12" s="30" t="n"/>
    </row>
    <row r="13">
      <c r="B13" s="29">
        <f>Instellingen!$D$10</f>
        <v/>
      </c>
      <c r="C13" s="30" t="n"/>
      <c r="D13" s="30" t="n"/>
      <c r="E13" s="24">
        <f>C13-D13</f>
        <v/>
      </c>
      <c r="G13" s="33" t="n"/>
      <c r="H13" s="14" t="n"/>
      <c r="I13" s="14" t="n"/>
      <c r="J13" s="30" t="n"/>
    </row>
    <row r="14">
      <c r="B14" s="29">
        <f>Instellingen!$D$11</f>
        <v/>
      </c>
      <c r="C14" s="30" t="n"/>
      <c r="D14" s="30" t="n"/>
      <c r="E14" s="24">
        <f>C14-D14</f>
        <v/>
      </c>
      <c r="G14" s="33" t="n"/>
      <c r="H14" s="14" t="n"/>
      <c r="I14" s="14" t="n"/>
      <c r="J14" s="30" t="n"/>
    </row>
    <row r="15">
      <c r="B15" s="29">
        <f>Instellingen!$D$12</f>
        <v/>
      </c>
      <c r="C15" s="30" t="n"/>
      <c r="D15" s="30" t="n"/>
      <c r="E15" s="24">
        <f>C15-D15</f>
        <v/>
      </c>
      <c r="G15" s="33" t="n"/>
      <c r="H15" s="14" t="n"/>
      <c r="I15" s="14" t="n"/>
      <c r="J15" s="30" t="n"/>
    </row>
    <row r="16">
      <c r="B16" s="29">
        <f>Instellingen!$D$13</f>
        <v/>
      </c>
      <c r="C16" s="30" t="n"/>
      <c r="D16" s="30" t="n"/>
      <c r="E16" s="24">
        <f>C16-D16</f>
        <v/>
      </c>
      <c r="G16" s="33" t="n"/>
      <c r="H16" s="14" t="n"/>
      <c r="I16" s="14" t="n"/>
      <c r="J16" s="30" t="n"/>
    </row>
    <row r="17">
      <c r="B17" s="29">
        <f>Instellingen!$D$14</f>
        <v/>
      </c>
      <c r="C17" s="30" t="n"/>
      <c r="D17" s="30" t="n"/>
      <c r="E17" s="24">
        <f>C17-D17</f>
        <v/>
      </c>
      <c r="G17" s="33" t="n"/>
      <c r="H17" s="14" t="n"/>
      <c r="I17" s="14" t="n"/>
      <c r="J17" s="30" t="n"/>
    </row>
    <row r="18">
      <c r="B18" s="29">
        <f>Instellingen!$D$15</f>
        <v/>
      </c>
      <c r="C18" s="30" t="n"/>
      <c r="D18" s="30" t="n"/>
      <c r="E18" s="24">
        <f>C18-D18</f>
        <v/>
      </c>
      <c r="G18" s="33" t="n"/>
      <c r="H18" s="14" t="n"/>
      <c r="I18" s="14" t="n"/>
      <c r="J18" s="30" t="n"/>
    </row>
    <row r="19">
      <c r="B19" s="29">
        <f>Instellingen!$D$16</f>
        <v/>
      </c>
      <c r="C19" s="30" t="n"/>
      <c r="D19" s="30" t="n"/>
      <c r="E19" s="24">
        <f>C19-D19</f>
        <v/>
      </c>
      <c r="G19" s="33" t="n"/>
      <c r="H19" s="14" t="n"/>
      <c r="I19" s="14" t="n"/>
      <c r="J19" s="30" t="n"/>
    </row>
    <row r="20">
      <c r="B20" s="29">
        <f>Instellingen!$D$17</f>
        <v/>
      </c>
      <c r="C20" s="30" t="n"/>
      <c r="D20" s="30" t="n"/>
      <c r="E20" s="24">
        <f>C20-D20</f>
        <v/>
      </c>
      <c r="G20" s="33" t="n"/>
      <c r="H20" s="14" t="n"/>
      <c r="I20" s="14" t="n"/>
      <c r="J20" s="30" t="n"/>
    </row>
    <row r="21">
      <c r="B21" s="29">
        <f>Instellingen!$D$18</f>
        <v/>
      </c>
      <c r="C21" s="30" t="n"/>
      <c r="D21" s="30" t="n"/>
      <c r="E21" s="24">
        <f>C21-D21</f>
        <v/>
      </c>
      <c r="G21" s="33" t="n"/>
      <c r="H21" s="14" t="n"/>
      <c r="I21" s="14" t="n"/>
      <c r="J21" s="30" t="n"/>
    </row>
    <row r="22">
      <c r="B22" s="29">
        <f>Instellingen!$D$19</f>
        <v/>
      </c>
      <c r="C22" s="30" t="n"/>
      <c r="D22" s="30" t="n"/>
      <c r="E22" s="24">
        <f>C22-D22</f>
        <v/>
      </c>
      <c r="G22" s="33" t="n"/>
      <c r="H22" s="14" t="n"/>
      <c r="I22" s="14" t="n"/>
      <c r="J22" s="30" t="n"/>
    </row>
    <row r="23">
      <c r="B23" s="29">
        <f>Instellingen!$D$20</f>
        <v/>
      </c>
      <c r="C23" s="30" t="n"/>
      <c r="D23" s="30" t="n"/>
      <c r="E23" s="24">
        <f>C23-D23</f>
        <v/>
      </c>
      <c r="G23" s="33" t="n"/>
      <c r="H23" s="14" t="n"/>
      <c r="I23" s="14" t="n"/>
      <c r="J23" s="30" t="n"/>
    </row>
    <row r="24">
      <c r="B24" s="26" t="inlineStr">
        <is>
          <t>Subtotaal</t>
        </is>
      </c>
      <c r="C24" s="27">
        <f>SUM(C12:C23)</f>
        <v/>
      </c>
      <c r="D24" s="27">
        <f>SUM(D12:D23)</f>
        <v/>
      </c>
      <c r="E24" s="27">
        <f>SUM(E12:E23)</f>
        <v/>
      </c>
      <c r="G24" s="33" t="n"/>
      <c r="H24" s="14" t="n"/>
      <c r="I24" s="14" t="n"/>
      <c r="J24" s="30" t="n"/>
    </row>
    <row r="25">
      <c r="G25" s="33" t="n"/>
      <c r="H25" s="14" t="n"/>
      <c r="I25" s="14" t="n"/>
      <c r="J25" s="30" t="n"/>
    </row>
    <row r="26">
      <c r="B26" s="17" t="inlineStr">
        <is>
          <t>C · Variabele uitgaven</t>
        </is>
      </c>
      <c r="C26" s="23" t="inlineStr">
        <is>
          <t>Begroot</t>
        </is>
      </c>
      <c r="D26" s="23" t="inlineStr">
        <is>
          <t>Werkelijk</t>
        </is>
      </c>
      <c r="E26" s="23" t="inlineStr">
        <is>
          <t>Verschil</t>
        </is>
      </c>
      <c r="G26" s="33" t="n"/>
      <c r="H26" s="14" t="n"/>
      <c r="I26" s="14" t="n"/>
      <c r="J26" s="30" t="n"/>
    </row>
    <row r="27">
      <c r="B27" s="29">
        <f>Instellingen!$F$9</f>
        <v/>
      </c>
      <c r="C27" s="30" t="n"/>
      <c r="D27" s="24">
        <f>SUMIF($I$12:$I$51,B27,$J$12:$J$51)</f>
        <v/>
      </c>
      <c r="E27" s="24">
        <f>C27-D27</f>
        <v/>
      </c>
      <c r="G27" s="33" t="n"/>
      <c r="H27" s="14" t="n"/>
      <c r="I27" s="14" t="n"/>
      <c r="J27" s="30" t="n"/>
    </row>
    <row r="28">
      <c r="B28" s="29">
        <f>Instellingen!$F$10</f>
        <v/>
      </c>
      <c r="C28" s="30" t="n"/>
      <c r="D28" s="24">
        <f>SUMIF($I$12:$I$51,B28,$J$12:$J$51)</f>
        <v/>
      </c>
      <c r="E28" s="24">
        <f>C28-D28</f>
        <v/>
      </c>
      <c r="G28" s="33" t="n"/>
      <c r="H28" s="14" t="n"/>
      <c r="I28" s="14" t="n"/>
      <c r="J28" s="30" t="n"/>
    </row>
    <row r="29">
      <c r="B29" s="29">
        <f>Instellingen!$F$11</f>
        <v/>
      </c>
      <c r="C29" s="30" t="n"/>
      <c r="D29" s="24">
        <f>SUMIF($I$12:$I$51,B29,$J$12:$J$51)</f>
        <v/>
      </c>
      <c r="E29" s="24">
        <f>C29-D29</f>
        <v/>
      </c>
      <c r="G29" s="33" t="n"/>
      <c r="H29" s="14" t="n"/>
      <c r="I29" s="14" t="n"/>
      <c r="J29" s="30" t="n"/>
    </row>
    <row r="30">
      <c r="B30" s="29">
        <f>Instellingen!$F$12</f>
        <v/>
      </c>
      <c r="C30" s="30" t="n"/>
      <c r="D30" s="24">
        <f>SUMIF($I$12:$I$51,B30,$J$12:$J$51)</f>
        <v/>
      </c>
      <c r="E30" s="24">
        <f>C30-D30</f>
        <v/>
      </c>
      <c r="G30" s="33" t="n"/>
      <c r="H30" s="14" t="n"/>
      <c r="I30" s="14" t="n"/>
      <c r="J30" s="30" t="n"/>
    </row>
    <row r="31">
      <c r="B31" s="29">
        <f>Instellingen!$F$13</f>
        <v/>
      </c>
      <c r="C31" s="30" t="n"/>
      <c r="D31" s="24">
        <f>SUMIF($I$12:$I$51,B31,$J$12:$J$51)</f>
        <v/>
      </c>
      <c r="E31" s="24">
        <f>C31-D31</f>
        <v/>
      </c>
      <c r="G31" s="33" t="n"/>
      <c r="H31" s="14" t="n"/>
      <c r="I31" s="14" t="n"/>
      <c r="J31" s="30" t="n"/>
    </row>
    <row r="32">
      <c r="B32" s="29">
        <f>Instellingen!$F$14</f>
        <v/>
      </c>
      <c r="C32" s="30" t="n"/>
      <c r="D32" s="24">
        <f>SUMIF($I$12:$I$51,B32,$J$12:$J$51)</f>
        <v/>
      </c>
      <c r="E32" s="24">
        <f>C32-D32</f>
        <v/>
      </c>
      <c r="G32" s="33" t="n"/>
      <c r="H32" s="14" t="n"/>
      <c r="I32" s="14" t="n"/>
      <c r="J32" s="30" t="n"/>
    </row>
    <row r="33">
      <c r="B33" s="29">
        <f>Instellingen!$F$15</f>
        <v/>
      </c>
      <c r="C33" s="30" t="n"/>
      <c r="D33" s="24">
        <f>SUMIF($I$12:$I$51,B33,$J$12:$J$51)</f>
        <v/>
      </c>
      <c r="E33" s="24">
        <f>C33-D33</f>
        <v/>
      </c>
      <c r="G33" s="33" t="n"/>
      <c r="H33" s="14" t="n"/>
      <c r="I33" s="14" t="n"/>
      <c r="J33" s="30" t="n"/>
    </row>
    <row r="34">
      <c r="B34" s="29">
        <f>Instellingen!$F$16</f>
        <v/>
      </c>
      <c r="C34" s="30" t="n"/>
      <c r="D34" s="24">
        <f>SUMIF($I$12:$I$51,B34,$J$12:$J$51)</f>
        <v/>
      </c>
      <c r="E34" s="24">
        <f>C34-D34</f>
        <v/>
      </c>
      <c r="G34" s="33" t="n"/>
      <c r="H34" s="14" t="n"/>
      <c r="I34" s="14" t="n"/>
      <c r="J34" s="30" t="n"/>
    </row>
    <row r="35">
      <c r="B35" s="29">
        <f>Instellingen!$F$17</f>
        <v/>
      </c>
      <c r="C35" s="30" t="n"/>
      <c r="D35" s="24">
        <f>SUMIF($I$12:$I$51,B35,$J$12:$J$51)</f>
        <v/>
      </c>
      <c r="E35" s="24">
        <f>C35-D35</f>
        <v/>
      </c>
      <c r="G35" s="33" t="n"/>
      <c r="H35" s="14" t="n"/>
      <c r="I35" s="14" t="n"/>
      <c r="J35" s="30" t="n"/>
    </row>
    <row r="36">
      <c r="B36" s="29">
        <f>Instellingen!$F$18</f>
        <v/>
      </c>
      <c r="C36" s="30" t="n"/>
      <c r="D36" s="24">
        <f>SUMIF($I$12:$I$51,B36,$J$12:$J$51)</f>
        <v/>
      </c>
      <c r="E36" s="24">
        <f>C36-D36</f>
        <v/>
      </c>
      <c r="G36" s="33" t="n"/>
      <c r="H36" s="14" t="n"/>
      <c r="I36" s="14" t="n"/>
      <c r="J36" s="30" t="n"/>
    </row>
    <row r="37">
      <c r="B37" s="29">
        <f>Instellingen!$F$19</f>
        <v/>
      </c>
      <c r="C37" s="30" t="n"/>
      <c r="D37" s="24">
        <f>SUMIF($I$12:$I$51,B37,$J$12:$J$51)</f>
        <v/>
      </c>
      <c r="E37" s="24">
        <f>C37-D37</f>
        <v/>
      </c>
      <c r="G37" s="33" t="n"/>
      <c r="H37" s="14" t="n"/>
      <c r="I37" s="14" t="n"/>
      <c r="J37" s="30" t="n"/>
    </row>
    <row r="38">
      <c r="B38" s="26" t="inlineStr">
        <is>
          <t>Subtotaal</t>
        </is>
      </c>
      <c r="C38" s="27">
        <f>SUM(C27:C37)</f>
        <v/>
      </c>
      <c r="D38" s="27">
        <f>SUM(D27:D37)</f>
        <v/>
      </c>
      <c r="E38" s="27">
        <f>SUM(E27:E37)</f>
        <v/>
      </c>
      <c r="G38" s="33" t="n"/>
      <c r="H38" s="14" t="n"/>
      <c r="I38" s="14" t="n"/>
      <c r="J38" s="30" t="n"/>
    </row>
    <row r="39">
      <c r="G39" s="33" t="n"/>
      <c r="H39" s="14" t="n"/>
      <c r="I39" s="14" t="n"/>
      <c r="J39" s="30" t="n"/>
    </row>
    <row r="40">
      <c r="B40" s="17" t="inlineStr">
        <is>
          <t>D · Sparen</t>
        </is>
      </c>
      <c r="C40" s="23" t="inlineStr">
        <is>
          <t>Begroot</t>
        </is>
      </c>
      <c r="D40" s="23" t="inlineStr">
        <is>
          <t>Werkelijk</t>
        </is>
      </c>
      <c r="E40" s="23" t="inlineStr">
        <is>
          <t>Verschil</t>
        </is>
      </c>
      <c r="G40" s="33" t="n"/>
      <c r="H40" s="14" t="n"/>
      <c r="I40" s="14" t="n"/>
      <c r="J40" s="30" t="n"/>
    </row>
    <row r="41">
      <c r="B41" s="29">
        <f>Instellingen!$H$9</f>
        <v/>
      </c>
      <c r="C41" s="30" t="n"/>
      <c r="D41" s="30" t="n"/>
      <c r="E41" s="24">
        <f>D41-C41</f>
        <v/>
      </c>
      <c r="G41" s="33" t="n"/>
      <c r="H41" s="14" t="n"/>
      <c r="I41" s="14" t="n"/>
      <c r="J41" s="30" t="n"/>
    </row>
    <row r="42">
      <c r="B42" s="29">
        <f>Instellingen!$H$10</f>
        <v/>
      </c>
      <c r="C42" s="30" t="n"/>
      <c r="D42" s="30" t="n"/>
      <c r="E42" s="24">
        <f>D42-C42</f>
        <v/>
      </c>
      <c r="G42" s="33" t="n"/>
      <c r="H42" s="14" t="n"/>
      <c r="I42" s="14" t="n"/>
      <c r="J42" s="30" t="n"/>
    </row>
    <row r="43">
      <c r="B43" s="29">
        <f>Instellingen!$H$11</f>
        <v/>
      </c>
      <c r="C43" s="30" t="n"/>
      <c r="D43" s="30" t="n"/>
      <c r="E43" s="24">
        <f>D43-C43</f>
        <v/>
      </c>
      <c r="G43" s="33" t="n"/>
      <c r="H43" s="14" t="n"/>
      <c r="I43" s="14" t="n"/>
      <c r="J43" s="30" t="n"/>
    </row>
    <row r="44">
      <c r="B44" s="29">
        <f>Instellingen!$H$12</f>
        <v/>
      </c>
      <c r="C44" s="30" t="n"/>
      <c r="D44" s="30" t="n"/>
      <c r="E44" s="24">
        <f>D44-C44</f>
        <v/>
      </c>
      <c r="G44" s="33" t="n"/>
      <c r="H44" s="14" t="n"/>
      <c r="I44" s="14" t="n"/>
      <c r="J44" s="30" t="n"/>
    </row>
    <row r="45">
      <c r="B45" s="26" t="inlineStr">
        <is>
          <t>Subtotaal</t>
        </is>
      </c>
      <c r="C45" s="27">
        <f>SUM(C41:C44)</f>
        <v/>
      </c>
      <c r="D45" s="27">
        <f>SUM(D41:D44)</f>
        <v/>
      </c>
      <c r="E45" s="27">
        <f>SUM(E41:E44)</f>
        <v/>
      </c>
      <c r="G45" s="33" t="n"/>
      <c r="H45" s="14" t="n"/>
      <c r="I45" s="14" t="n"/>
      <c r="J45" s="30" t="n"/>
    </row>
    <row r="46">
      <c r="B46" s="12" t="inlineStr">
        <is>
          <t>Werkelijk bij variabele uitgaven wordt automatisch gevuld vanuit het Uitgavenlogboek.</t>
        </is>
      </c>
      <c r="G46" s="33" t="n"/>
      <c r="H46" s="14" t="n"/>
      <c r="I46" s="14" t="n"/>
      <c r="J46" s="30" t="n"/>
    </row>
    <row r="47">
      <c r="G47" s="33" t="n"/>
      <c r="H47" s="14" t="n"/>
      <c r="I47" s="14" t="n"/>
      <c r="J47" s="30" t="n"/>
    </row>
    <row r="48">
      <c r="G48" s="33" t="n"/>
      <c r="H48" s="14" t="n"/>
      <c r="I48" s="14" t="n"/>
      <c r="J48" s="30" t="n"/>
    </row>
    <row r="49">
      <c r="G49" s="33" t="n"/>
      <c r="H49" s="14" t="n"/>
      <c r="I49" s="14" t="n"/>
      <c r="J49" s="30" t="n"/>
    </row>
    <row r="50">
      <c r="G50" s="33" t="n"/>
      <c r="H50" s="14" t="n"/>
      <c r="I50" s="14" t="n"/>
      <c r="J50" s="30" t="n"/>
    </row>
    <row r="51">
      <c r="G51" s="33" t="n"/>
      <c r="H51" s="14" t="n"/>
      <c r="I51" s="14" t="n"/>
      <c r="J51" s="30" t="n"/>
    </row>
    <row r="52">
      <c r="G52" s="26" t="inlineStr">
        <is>
          <t>Totaal logboek</t>
        </is>
      </c>
      <c r="H52" s="34" t="n"/>
      <c r="I52" s="20" t="n"/>
      <c r="J52" s="27">
        <f>SUM(J12:J51)</f>
        <v/>
      </c>
    </row>
  </sheetData>
  <mergeCells count="6">
    <mergeCell ref="G4:H4"/>
    <mergeCell ref="G7:H7"/>
    <mergeCell ref="G5:H5"/>
    <mergeCell ref="G6:H6"/>
    <mergeCell ref="G8:H8"/>
    <mergeCell ref="G52:I52"/>
  </mergeCells>
  <conditionalFormatting sqref="E5:E9">
    <cfRule type="cellIs" priority="1" operator="lessThan" dxfId="0">
      <formula>0</formula>
    </cfRule>
  </conditionalFormatting>
  <conditionalFormatting sqref="E12:E24">
    <cfRule type="cellIs" priority="2" operator="lessThan" dxfId="0">
      <formula>0</formula>
    </cfRule>
  </conditionalFormatting>
  <conditionalFormatting sqref="E27:E38">
    <cfRule type="cellIs" priority="3" operator="lessThan" dxfId="0">
      <formula>0</formula>
    </cfRule>
  </conditionalFormatting>
  <conditionalFormatting sqref="E41:E45">
    <cfRule type="cellIs" priority="4" operator="lessThan" dxfId="0">
      <formula>0</formula>
    </cfRule>
  </conditionalFormatting>
  <conditionalFormatting sqref="I8:J8">
    <cfRule type="cellIs" priority="5" operator="lessThan" dxfId="0">
      <formula>0</formula>
    </cfRule>
  </conditionalFormatting>
  <dataValidations count="1">
    <dataValidation sqref="I12:I51" showDropDown="0" showInputMessage="0" showErrorMessage="1" allowBlank="1" errorTitle="Onbekende categorie" error="Kies een categorie uit de lijst (aanpassen kan op het tabblad Instellingen)." type="list">
      <formula1>=Instellingen!$F$9:$F$19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5F7A61"/>
    <outlinePr summaryBelow="1" summaryRight="1"/>
    <pageSetUpPr/>
  </sheetPr>
  <dimension ref="B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3" customWidth="1" min="6" max="6"/>
    <col width="14" customWidth="1" min="7" max="7"/>
    <col width="32" customWidth="1" min="8" max="8"/>
    <col width="26" customWidth="1" min="9" max="9"/>
    <col width="14" customWidth="1" min="10" max="10"/>
  </cols>
  <sheetData>
    <row r="1">
      <c r="B1" s="1" t="inlineStr">
        <is>
          <t>Plannerij</t>
        </is>
      </c>
    </row>
    <row r="2" ht="30" customHeight="1">
      <c r="B2" s="2" t="inlineStr">
        <is>
          <t>December</t>
        </is>
      </c>
    </row>
    <row r="3">
      <c r="B3" s="3">
        <f>IF(Instellingen!$C$5="","",Instellingen!$C$5)</f>
        <v/>
      </c>
    </row>
    <row r="4">
      <c r="B4" s="17" t="inlineStr">
        <is>
          <t>A · Inkomen</t>
        </is>
      </c>
      <c r="C4" s="23" t="inlineStr">
        <is>
          <t>Begroot</t>
        </is>
      </c>
      <c r="D4" s="23" t="inlineStr">
        <is>
          <t>Werkelijk</t>
        </is>
      </c>
      <c r="E4" s="23" t="inlineStr">
        <is>
          <t>Verschil</t>
        </is>
      </c>
      <c r="G4" s="17" t="inlineStr">
        <is>
          <t>Samenvatting</t>
        </is>
      </c>
      <c r="H4" s="20" t="n"/>
      <c r="I4" s="23" t="inlineStr">
        <is>
          <t>Begroot</t>
        </is>
      </c>
      <c r="J4" s="23" t="inlineStr">
        <is>
          <t>Werkelijk</t>
        </is>
      </c>
    </row>
    <row r="5">
      <c r="B5" s="29">
        <f>Instellingen!$B$9</f>
        <v/>
      </c>
      <c r="C5" s="30" t="n"/>
      <c r="D5" s="30" t="n"/>
      <c r="E5" s="24">
        <f>D5-C5</f>
        <v/>
      </c>
      <c r="G5" s="31" t="inlineStr">
        <is>
          <t>Totaal inkomen</t>
        </is>
      </c>
      <c r="H5" s="20" t="n"/>
      <c r="I5" s="32">
        <f>C9</f>
        <v/>
      </c>
      <c r="J5" s="32">
        <f>D9</f>
        <v/>
      </c>
    </row>
    <row r="6">
      <c r="B6" s="29">
        <f>Instellingen!$B$10</f>
        <v/>
      </c>
      <c r="C6" s="30" t="n"/>
      <c r="D6" s="30" t="n"/>
      <c r="E6" s="24">
        <f>D6-C6</f>
        <v/>
      </c>
      <c r="G6" s="31" t="inlineStr">
        <is>
          <t>Totaal uitgaven</t>
        </is>
      </c>
      <c r="H6" s="20" t="n"/>
      <c r="I6" s="32">
        <f>C24+C38</f>
        <v/>
      </c>
      <c r="J6" s="32">
        <f>D24+D38</f>
        <v/>
      </c>
    </row>
    <row r="7">
      <c r="B7" s="29">
        <f>Instellingen!$B$11</f>
        <v/>
      </c>
      <c r="C7" s="30" t="n"/>
      <c r="D7" s="30" t="n"/>
      <c r="E7" s="24">
        <f>D7-C7</f>
        <v/>
      </c>
      <c r="G7" s="31" t="inlineStr">
        <is>
          <t>Gespaard</t>
        </is>
      </c>
      <c r="H7" s="20" t="n"/>
      <c r="I7" s="32">
        <f>C45</f>
        <v/>
      </c>
      <c r="J7" s="32">
        <f>D45</f>
        <v/>
      </c>
    </row>
    <row r="8">
      <c r="B8" s="29">
        <f>Instellingen!$B$12</f>
        <v/>
      </c>
      <c r="C8" s="30" t="n"/>
      <c r="D8" s="30" t="n"/>
      <c r="E8" s="24">
        <f>D8-C8</f>
        <v/>
      </c>
      <c r="G8" s="26" t="inlineStr">
        <is>
          <t>Over / tekort</t>
        </is>
      </c>
      <c r="H8" s="20" t="n"/>
      <c r="I8" s="27">
        <f>I5-I6-I7</f>
        <v/>
      </c>
      <c r="J8" s="27">
        <f>J5-J6-J7</f>
        <v/>
      </c>
    </row>
    <row r="9">
      <c r="B9" s="26" t="inlineStr">
        <is>
          <t>Subtotaal</t>
        </is>
      </c>
      <c r="C9" s="27">
        <f>SUM(C5:C8)</f>
        <v/>
      </c>
      <c r="D9" s="27">
        <f>SUM(D5:D8)</f>
        <v/>
      </c>
      <c r="E9" s="27">
        <f>SUM(E5:E8)</f>
        <v/>
      </c>
    </row>
    <row r="10">
      <c r="G10" s="4" t="inlineStr">
        <is>
          <t>Uitgavenlogboek</t>
        </is>
      </c>
      <c r="I10" s="12" t="inlineStr">
        <is>
          <t>Kies een categorie uit de lijst; het bedrag telt automatisch op bij Variabele uitgaven.</t>
        </is>
      </c>
    </row>
    <row r="11">
      <c r="B11" s="17" t="inlineStr">
        <is>
          <t>B · Vaste lasten</t>
        </is>
      </c>
      <c r="C11" s="23" t="inlineStr">
        <is>
          <t>Begroot</t>
        </is>
      </c>
      <c r="D11" s="23" t="inlineStr">
        <is>
          <t>Werkelijk</t>
        </is>
      </c>
      <c r="E11" s="23" t="inlineStr">
        <is>
          <t>Verschil</t>
        </is>
      </c>
      <c r="G11" s="17" t="inlineStr">
        <is>
          <t>Datum</t>
        </is>
      </c>
      <c r="H11" s="23" t="inlineStr">
        <is>
          <t>Omschrijving</t>
        </is>
      </c>
      <c r="I11" s="23" t="inlineStr">
        <is>
          <t>Categorie</t>
        </is>
      </c>
      <c r="J11" s="23" t="inlineStr">
        <is>
          <t>Bedrag</t>
        </is>
      </c>
    </row>
    <row r="12">
      <c r="B12" s="29">
        <f>Instellingen!$D$9</f>
        <v/>
      </c>
      <c r="C12" s="30" t="n"/>
      <c r="D12" s="30" t="n"/>
      <c r="E12" s="24">
        <f>C12-D12</f>
        <v/>
      </c>
      <c r="G12" s="33" t="n"/>
      <c r="H12" s="14" t="n"/>
      <c r="I12" s="14" t="n"/>
      <c r="J12" s="30" t="n"/>
    </row>
    <row r="13">
      <c r="B13" s="29">
        <f>Instellingen!$D$10</f>
        <v/>
      </c>
      <c r="C13" s="30" t="n"/>
      <c r="D13" s="30" t="n"/>
      <c r="E13" s="24">
        <f>C13-D13</f>
        <v/>
      </c>
      <c r="G13" s="33" t="n"/>
      <c r="H13" s="14" t="n"/>
      <c r="I13" s="14" t="n"/>
      <c r="J13" s="30" t="n"/>
    </row>
    <row r="14">
      <c r="B14" s="29">
        <f>Instellingen!$D$11</f>
        <v/>
      </c>
      <c r="C14" s="30" t="n"/>
      <c r="D14" s="30" t="n"/>
      <c r="E14" s="24">
        <f>C14-D14</f>
        <v/>
      </c>
      <c r="G14" s="33" t="n"/>
      <c r="H14" s="14" t="n"/>
      <c r="I14" s="14" t="n"/>
      <c r="J14" s="30" t="n"/>
    </row>
    <row r="15">
      <c r="B15" s="29">
        <f>Instellingen!$D$12</f>
        <v/>
      </c>
      <c r="C15" s="30" t="n"/>
      <c r="D15" s="30" t="n"/>
      <c r="E15" s="24">
        <f>C15-D15</f>
        <v/>
      </c>
      <c r="G15" s="33" t="n"/>
      <c r="H15" s="14" t="n"/>
      <c r="I15" s="14" t="n"/>
      <c r="J15" s="30" t="n"/>
    </row>
    <row r="16">
      <c r="B16" s="29">
        <f>Instellingen!$D$13</f>
        <v/>
      </c>
      <c r="C16" s="30" t="n"/>
      <c r="D16" s="30" t="n"/>
      <c r="E16" s="24">
        <f>C16-D16</f>
        <v/>
      </c>
      <c r="G16" s="33" t="n"/>
      <c r="H16" s="14" t="n"/>
      <c r="I16" s="14" t="n"/>
      <c r="J16" s="30" t="n"/>
    </row>
    <row r="17">
      <c r="B17" s="29">
        <f>Instellingen!$D$14</f>
        <v/>
      </c>
      <c r="C17" s="30" t="n"/>
      <c r="D17" s="30" t="n"/>
      <c r="E17" s="24">
        <f>C17-D17</f>
        <v/>
      </c>
      <c r="G17" s="33" t="n"/>
      <c r="H17" s="14" t="n"/>
      <c r="I17" s="14" t="n"/>
      <c r="J17" s="30" t="n"/>
    </row>
    <row r="18">
      <c r="B18" s="29">
        <f>Instellingen!$D$15</f>
        <v/>
      </c>
      <c r="C18" s="30" t="n"/>
      <c r="D18" s="30" t="n"/>
      <c r="E18" s="24">
        <f>C18-D18</f>
        <v/>
      </c>
      <c r="G18" s="33" t="n"/>
      <c r="H18" s="14" t="n"/>
      <c r="I18" s="14" t="n"/>
      <c r="J18" s="30" t="n"/>
    </row>
    <row r="19">
      <c r="B19" s="29">
        <f>Instellingen!$D$16</f>
        <v/>
      </c>
      <c r="C19" s="30" t="n"/>
      <c r="D19" s="30" t="n"/>
      <c r="E19" s="24">
        <f>C19-D19</f>
        <v/>
      </c>
      <c r="G19" s="33" t="n"/>
      <c r="H19" s="14" t="n"/>
      <c r="I19" s="14" t="n"/>
      <c r="J19" s="30" t="n"/>
    </row>
    <row r="20">
      <c r="B20" s="29">
        <f>Instellingen!$D$17</f>
        <v/>
      </c>
      <c r="C20" s="30" t="n"/>
      <c r="D20" s="30" t="n"/>
      <c r="E20" s="24">
        <f>C20-D20</f>
        <v/>
      </c>
      <c r="G20" s="33" t="n"/>
      <c r="H20" s="14" t="n"/>
      <c r="I20" s="14" t="n"/>
      <c r="J20" s="30" t="n"/>
    </row>
    <row r="21">
      <c r="B21" s="29">
        <f>Instellingen!$D$18</f>
        <v/>
      </c>
      <c r="C21" s="30" t="n"/>
      <c r="D21" s="30" t="n"/>
      <c r="E21" s="24">
        <f>C21-D21</f>
        <v/>
      </c>
      <c r="G21" s="33" t="n"/>
      <c r="H21" s="14" t="n"/>
      <c r="I21" s="14" t="n"/>
      <c r="J21" s="30" t="n"/>
    </row>
    <row r="22">
      <c r="B22" s="29">
        <f>Instellingen!$D$19</f>
        <v/>
      </c>
      <c r="C22" s="30" t="n"/>
      <c r="D22" s="30" t="n"/>
      <c r="E22" s="24">
        <f>C22-D22</f>
        <v/>
      </c>
      <c r="G22" s="33" t="n"/>
      <c r="H22" s="14" t="n"/>
      <c r="I22" s="14" t="n"/>
      <c r="J22" s="30" t="n"/>
    </row>
    <row r="23">
      <c r="B23" s="29">
        <f>Instellingen!$D$20</f>
        <v/>
      </c>
      <c r="C23" s="30" t="n"/>
      <c r="D23" s="30" t="n"/>
      <c r="E23" s="24">
        <f>C23-D23</f>
        <v/>
      </c>
      <c r="G23" s="33" t="n"/>
      <c r="H23" s="14" t="n"/>
      <c r="I23" s="14" t="n"/>
      <c r="J23" s="30" t="n"/>
    </row>
    <row r="24">
      <c r="B24" s="26" t="inlineStr">
        <is>
          <t>Subtotaal</t>
        </is>
      </c>
      <c r="C24" s="27">
        <f>SUM(C12:C23)</f>
        <v/>
      </c>
      <c r="D24" s="27">
        <f>SUM(D12:D23)</f>
        <v/>
      </c>
      <c r="E24" s="27">
        <f>SUM(E12:E23)</f>
        <v/>
      </c>
      <c r="G24" s="33" t="n"/>
      <c r="H24" s="14" t="n"/>
      <c r="I24" s="14" t="n"/>
      <c r="J24" s="30" t="n"/>
    </row>
    <row r="25">
      <c r="G25" s="33" t="n"/>
      <c r="H25" s="14" t="n"/>
      <c r="I25" s="14" t="n"/>
      <c r="J25" s="30" t="n"/>
    </row>
    <row r="26">
      <c r="B26" s="17" t="inlineStr">
        <is>
          <t>C · Variabele uitgaven</t>
        </is>
      </c>
      <c r="C26" s="23" t="inlineStr">
        <is>
          <t>Begroot</t>
        </is>
      </c>
      <c r="D26" s="23" t="inlineStr">
        <is>
          <t>Werkelijk</t>
        </is>
      </c>
      <c r="E26" s="23" t="inlineStr">
        <is>
          <t>Verschil</t>
        </is>
      </c>
      <c r="G26" s="33" t="n"/>
      <c r="H26" s="14" t="n"/>
      <c r="I26" s="14" t="n"/>
      <c r="J26" s="30" t="n"/>
    </row>
    <row r="27">
      <c r="B27" s="29">
        <f>Instellingen!$F$9</f>
        <v/>
      </c>
      <c r="C27" s="30" t="n"/>
      <c r="D27" s="24">
        <f>SUMIF($I$12:$I$51,B27,$J$12:$J$51)</f>
        <v/>
      </c>
      <c r="E27" s="24">
        <f>C27-D27</f>
        <v/>
      </c>
      <c r="G27" s="33" t="n"/>
      <c r="H27" s="14" t="n"/>
      <c r="I27" s="14" t="n"/>
      <c r="J27" s="30" t="n"/>
    </row>
    <row r="28">
      <c r="B28" s="29">
        <f>Instellingen!$F$10</f>
        <v/>
      </c>
      <c r="C28" s="30" t="n"/>
      <c r="D28" s="24">
        <f>SUMIF($I$12:$I$51,B28,$J$12:$J$51)</f>
        <v/>
      </c>
      <c r="E28" s="24">
        <f>C28-D28</f>
        <v/>
      </c>
      <c r="G28" s="33" t="n"/>
      <c r="H28" s="14" t="n"/>
      <c r="I28" s="14" t="n"/>
      <c r="J28" s="30" t="n"/>
    </row>
    <row r="29">
      <c r="B29" s="29">
        <f>Instellingen!$F$11</f>
        <v/>
      </c>
      <c r="C29" s="30" t="n"/>
      <c r="D29" s="24">
        <f>SUMIF($I$12:$I$51,B29,$J$12:$J$51)</f>
        <v/>
      </c>
      <c r="E29" s="24">
        <f>C29-D29</f>
        <v/>
      </c>
      <c r="G29" s="33" t="n"/>
      <c r="H29" s="14" t="n"/>
      <c r="I29" s="14" t="n"/>
      <c r="J29" s="30" t="n"/>
    </row>
    <row r="30">
      <c r="B30" s="29">
        <f>Instellingen!$F$12</f>
        <v/>
      </c>
      <c r="C30" s="30" t="n"/>
      <c r="D30" s="24">
        <f>SUMIF($I$12:$I$51,B30,$J$12:$J$51)</f>
        <v/>
      </c>
      <c r="E30" s="24">
        <f>C30-D30</f>
        <v/>
      </c>
      <c r="G30" s="33" t="n"/>
      <c r="H30" s="14" t="n"/>
      <c r="I30" s="14" t="n"/>
      <c r="J30" s="30" t="n"/>
    </row>
    <row r="31">
      <c r="B31" s="29">
        <f>Instellingen!$F$13</f>
        <v/>
      </c>
      <c r="C31" s="30" t="n"/>
      <c r="D31" s="24">
        <f>SUMIF($I$12:$I$51,B31,$J$12:$J$51)</f>
        <v/>
      </c>
      <c r="E31" s="24">
        <f>C31-D31</f>
        <v/>
      </c>
      <c r="G31" s="33" t="n"/>
      <c r="H31" s="14" t="n"/>
      <c r="I31" s="14" t="n"/>
      <c r="J31" s="30" t="n"/>
    </row>
    <row r="32">
      <c r="B32" s="29">
        <f>Instellingen!$F$14</f>
        <v/>
      </c>
      <c r="C32" s="30" t="n"/>
      <c r="D32" s="24">
        <f>SUMIF($I$12:$I$51,B32,$J$12:$J$51)</f>
        <v/>
      </c>
      <c r="E32" s="24">
        <f>C32-D32</f>
        <v/>
      </c>
      <c r="G32" s="33" t="n"/>
      <c r="H32" s="14" t="n"/>
      <c r="I32" s="14" t="n"/>
      <c r="J32" s="30" t="n"/>
    </row>
    <row r="33">
      <c r="B33" s="29">
        <f>Instellingen!$F$15</f>
        <v/>
      </c>
      <c r="C33" s="30" t="n"/>
      <c r="D33" s="24">
        <f>SUMIF($I$12:$I$51,B33,$J$12:$J$51)</f>
        <v/>
      </c>
      <c r="E33" s="24">
        <f>C33-D33</f>
        <v/>
      </c>
      <c r="G33" s="33" t="n"/>
      <c r="H33" s="14" t="n"/>
      <c r="I33" s="14" t="n"/>
      <c r="J33" s="30" t="n"/>
    </row>
    <row r="34">
      <c r="B34" s="29">
        <f>Instellingen!$F$16</f>
        <v/>
      </c>
      <c r="C34" s="30" t="n"/>
      <c r="D34" s="24">
        <f>SUMIF($I$12:$I$51,B34,$J$12:$J$51)</f>
        <v/>
      </c>
      <c r="E34" s="24">
        <f>C34-D34</f>
        <v/>
      </c>
      <c r="G34" s="33" t="n"/>
      <c r="H34" s="14" t="n"/>
      <c r="I34" s="14" t="n"/>
      <c r="J34" s="30" t="n"/>
    </row>
    <row r="35">
      <c r="B35" s="29">
        <f>Instellingen!$F$17</f>
        <v/>
      </c>
      <c r="C35" s="30" t="n"/>
      <c r="D35" s="24">
        <f>SUMIF($I$12:$I$51,B35,$J$12:$J$51)</f>
        <v/>
      </c>
      <c r="E35" s="24">
        <f>C35-D35</f>
        <v/>
      </c>
      <c r="G35" s="33" t="n"/>
      <c r="H35" s="14" t="n"/>
      <c r="I35" s="14" t="n"/>
      <c r="J35" s="30" t="n"/>
    </row>
    <row r="36">
      <c r="B36" s="29">
        <f>Instellingen!$F$18</f>
        <v/>
      </c>
      <c r="C36" s="30" t="n"/>
      <c r="D36" s="24">
        <f>SUMIF($I$12:$I$51,B36,$J$12:$J$51)</f>
        <v/>
      </c>
      <c r="E36" s="24">
        <f>C36-D36</f>
        <v/>
      </c>
      <c r="G36" s="33" t="n"/>
      <c r="H36" s="14" t="n"/>
      <c r="I36" s="14" t="n"/>
      <c r="J36" s="30" t="n"/>
    </row>
    <row r="37">
      <c r="B37" s="29">
        <f>Instellingen!$F$19</f>
        <v/>
      </c>
      <c r="C37" s="30" t="n"/>
      <c r="D37" s="24">
        <f>SUMIF($I$12:$I$51,B37,$J$12:$J$51)</f>
        <v/>
      </c>
      <c r="E37" s="24">
        <f>C37-D37</f>
        <v/>
      </c>
      <c r="G37" s="33" t="n"/>
      <c r="H37" s="14" t="n"/>
      <c r="I37" s="14" t="n"/>
      <c r="J37" s="30" t="n"/>
    </row>
    <row r="38">
      <c r="B38" s="26" t="inlineStr">
        <is>
          <t>Subtotaal</t>
        </is>
      </c>
      <c r="C38" s="27">
        <f>SUM(C27:C37)</f>
        <v/>
      </c>
      <c r="D38" s="27">
        <f>SUM(D27:D37)</f>
        <v/>
      </c>
      <c r="E38" s="27">
        <f>SUM(E27:E37)</f>
        <v/>
      </c>
      <c r="G38" s="33" t="n"/>
      <c r="H38" s="14" t="n"/>
      <c r="I38" s="14" t="n"/>
      <c r="J38" s="30" t="n"/>
    </row>
    <row r="39">
      <c r="G39" s="33" t="n"/>
      <c r="H39" s="14" t="n"/>
      <c r="I39" s="14" t="n"/>
      <c r="J39" s="30" t="n"/>
    </row>
    <row r="40">
      <c r="B40" s="17" t="inlineStr">
        <is>
          <t>D · Sparen</t>
        </is>
      </c>
      <c r="C40" s="23" t="inlineStr">
        <is>
          <t>Begroot</t>
        </is>
      </c>
      <c r="D40" s="23" t="inlineStr">
        <is>
          <t>Werkelijk</t>
        </is>
      </c>
      <c r="E40" s="23" t="inlineStr">
        <is>
          <t>Verschil</t>
        </is>
      </c>
      <c r="G40" s="33" t="n"/>
      <c r="H40" s="14" t="n"/>
      <c r="I40" s="14" t="n"/>
      <c r="J40" s="30" t="n"/>
    </row>
    <row r="41">
      <c r="B41" s="29">
        <f>Instellingen!$H$9</f>
        <v/>
      </c>
      <c r="C41" s="30" t="n"/>
      <c r="D41" s="30" t="n"/>
      <c r="E41" s="24">
        <f>D41-C41</f>
        <v/>
      </c>
      <c r="G41" s="33" t="n"/>
      <c r="H41" s="14" t="n"/>
      <c r="I41" s="14" t="n"/>
      <c r="J41" s="30" t="n"/>
    </row>
    <row r="42">
      <c r="B42" s="29">
        <f>Instellingen!$H$10</f>
        <v/>
      </c>
      <c r="C42" s="30" t="n"/>
      <c r="D42" s="30" t="n"/>
      <c r="E42" s="24">
        <f>D42-C42</f>
        <v/>
      </c>
      <c r="G42" s="33" t="n"/>
      <c r="H42" s="14" t="n"/>
      <c r="I42" s="14" t="n"/>
      <c r="J42" s="30" t="n"/>
    </row>
    <row r="43">
      <c r="B43" s="29">
        <f>Instellingen!$H$11</f>
        <v/>
      </c>
      <c r="C43" s="30" t="n"/>
      <c r="D43" s="30" t="n"/>
      <c r="E43" s="24">
        <f>D43-C43</f>
        <v/>
      </c>
      <c r="G43" s="33" t="n"/>
      <c r="H43" s="14" t="n"/>
      <c r="I43" s="14" t="n"/>
      <c r="J43" s="30" t="n"/>
    </row>
    <row r="44">
      <c r="B44" s="29">
        <f>Instellingen!$H$12</f>
        <v/>
      </c>
      <c r="C44" s="30" t="n"/>
      <c r="D44" s="30" t="n"/>
      <c r="E44" s="24">
        <f>D44-C44</f>
        <v/>
      </c>
      <c r="G44" s="33" t="n"/>
      <c r="H44" s="14" t="n"/>
      <c r="I44" s="14" t="n"/>
      <c r="J44" s="30" t="n"/>
    </row>
    <row r="45">
      <c r="B45" s="26" t="inlineStr">
        <is>
          <t>Subtotaal</t>
        </is>
      </c>
      <c r="C45" s="27">
        <f>SUM(C41:C44)</f>
        <v/>
      </c>
      <c r="D45" s="27">
        <f>SUM(D41:D44)</f>
        <v/>
      </c>
      <c r="E45" s="27">
        <f>SUM(E41:E44)</f>
        <v/>
      </c>
      <c r="G45" s="33" t="n"/>
      <c r="H45" s="14" t="n"/>
      <c r="I45" s="14" t="n"/>
      <c r="J45" s="30" t="n"/>
    </row>
    <row r="46">
      <c r="B46" s="12" t="inlineStr">
        <is>
          <t>Werkelijk bij variabele uitgaven wordt automatisch gevuld vanuit het Uitgavenlogboek.</t>
        </is>
      </c>
      <c r="G46" s="33" t="n"/>
      <c r="H46" s="14" t="n"/>
      <c r="I46" s="14" t="n"/>
      <c r="J46" s="30" t="n"/>
    </row>
    <row r="47">
      <c r="G47" s="33" t="n"/>
      <c r="H47" s="14" t="n"/>
      <c r="I47" s="14" t="n"/>
      <c r="J47" s="30" t="n"/>
    </row>
    <row r="48">
      <c r="G48" s="33" t="n"/>
      <c r="H48" s="14" t="n"/>
      <c r="I48" s="14" t="n"/>
      <c r="J48" s="30" t="n"/>
    </row>
    <row r="49">
      <c r="G49" s="33" t="n"/>
      <c r="H49" s="14" t="n"/>
      <c r="I49" s="14" t="n"/>
      <c r="J49" s="30" t="n"/>
    </row>
    <row r="50">
      <c r="G50" s="33" t="n"/>
      <c r="H50" s="14" t="n"/>
      <c r="I50" s="14" t="n"/>
      <c r="J50" s="30" t="n"/>
    </row>
    <row r="51">
      <c r="G51" s="33" t="n"/>
      <c r="H51" s="14" t="n"/>
      <c r="I51" s="14" t="n"/>
      <c r="J51" s="30" t="n"/>
    </row>
    <row r="52">
      <c r="G52" s="26" t="inlineStr">
        <is>
          <t>Totaal logboek</t>
        </is>
      </c>
      <c r="H52" s="34" t="n"/>
      <c r="I52" s="20" t="n"/>
      <c r="J52" s="27">
        <f>SUM(J12:J51)</f>
        <v/>
      </c>
    </row>
  </sheetData>
  <mergeCells count="6">
    <mergeCell ref="G4:H4"/>
    <mergeCell ref="G7:H7"/>
    <mergeCell ref="G5:H5"/>
    <mergeCell ref="G6:H6"/>
    <mergeCell ref="G8:H8"/>
    <mergeCell ref="G52:I52"/>
  </mergeCells>
  <conditionalFormatting sqref="E5:E9">
    <cfRule type="cellIs" priority="1" operator="lessThan" dxfId="0">
      <formula>0</formula>
    </cfRule>
  </conditionalFormatting>
  <conditionalFormatting sqref="E12:E24">
    <cfRule type="cellIs" priority="2" operator="lessThan" dxfId="0">
      <formula>0</formula>
    </cfRule>
  </conditionalFormatting>
  <conditionalFormatting sqref="E27:E38">
    <cfRule type="cellIs" priority="3" operator="lessThan" dxfId="0">
      <formula>0</formula>
    </cfRule>
  </conditionalFormatting>
  <conditionalFormatting sqref="E41:E45">
    <cfRule type="cellIs" priority="4" operator="lessThan" dxfId="0">
      <formula>0</formula>
    </cfRule>
  </conditionalFormatting>
  <conditionalFormatting sqref="I8:J8">
    <cfRule type="cellIs" priority="5" operator="lessThan" dxfId="0">
      <formula>0</formula>
    </cfRule>
  </conditionalFormatting>
  <dataValidations count="1">
    <dataValidation sqref="I12:I51" showDropDown="0" showInputMessage="0" showErrorMessage="1" allowBlank="1" errorTitle="Onbekende categorie" error="Kies een categorie uit de lijst (aanpassen kan op het tabblad Instellingen)." type="list">
      <formula1>=Instellingen!$F$9:$F$19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5F7A61"/>
    <outlinePr summaryBelow="1" summaryRight="1"/>
    <pageSetUpPr/>
  </sheetPr>
  <dimension ref="B1:J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8" customWidth="1" min="4" max="4"/>
    <col width="16" customWidth="1" min="5" max="5"/>
    <col width="16" customWidth="1" min="6" max="6"/>
    <col width="12" customWidth="1" min="7" max="7"/>
    <col width="16" customWidth="1" min="8" max="8"/>
    <col width="16" customWidth="1" min="9" max="9"/>
    <col width="18" customWidth="1" min="10" max="10"/>
  </cols>
  <sheetData>
    <row r="1">
      <c r="B1" s="1" t="inlineStr">
        <is>
          <t>Plannerij</t>
        </is>
      </c>
    </row>
    <row r="2" ht="30" customHeight="1">
      <c r="B2" s="2" t="inlineStr">
        <is>
          <t>Spaardoelen</t>
        </is>
      </c>
    </row>
    <row r="3">
      <c r="B3" s="3" t="inlineStr">
        <is>
          <t>Doelbedrag, startbedrag en streefdatum vul je in; de rest rekent automatisch.</t>
        </is>
      </c>
    </row>
    <row r="5" ht="32" customHeight="1">
      <c r="B5" s="35" t="inlineStr">
        <is>
          <t>Spaardoel</t>
        </is>
      </c>
      <c r="C5" s="35" t="inlineStr">
        <is>
          <t>Doelbedrag</t>
        </is>
      </c>
      <c r="D5" s="35" t="inlineStr">
        <is>
          <t>Al gespaard vóór dit jaar</t>
        </is>
      </c>
      <c r="E5" s="35" t="inlineStr">
        <is>
          <t>Gespaard dit jaar</t>
        </is>
      </c>
      <c r="F5" s="35" t="inlineStr">
        <is>
          <t>Totaal gespaard</t>
        </is>
      </c>
      <c r="G5" s="35" t="inlineStr">
        <is>
          <t>% behaald</t>
        </is>
      </c>
      <c r="H5" s="35" t="inlineStr">
        <is>
          <t>Nog te gaan</t>
        </is>
      </c>
      <c r="I5" s="35" t="inlineStr">
        <is>
          <t>Streefdatum</t>
        </is>
      </c>
      <c r="J5" s="35" t="inlineStr">
        <is>
          <t>Nodig per maand</t>
        </is>
      </c>
    </row>
    <row r="6">
      <c r="B6" s="29">
        <f>Instellingen!$H$9</f>
        <v/>
      </c>
      <c r="C6" s="30" t="n"/>
      <c r="D6" s="30" t="n"/>
      <c r="E6" s="24">
        <f>'Januari'!D41+'Februari'!D41+'Maart'!D41+'April'!D41+'Mei'!D41+'Juni'!D41+'Juli'!D41+'Augustus'!D41+'September'!D41+'Oktober'!D41+'November'!D41+'December'!D41</f>
        <v/>
      </c>
      <c r="F6" s="24">
        <f>D6+E6</f>
        <v/>
      </c>
      <c r="G6" s="25">
        <f>IFERROR(MIN(1,F6/C6),0)</f>
        <v/>
      </c>
      <c r="H6" s="24">
        <f>MAX(0,C6-F6)</f>
        <v/>
      </c>
      <c r="I6" s="33" t="n"/>
      <c r="J6" s="24">
        <f>IF(I6="",0,IFERROR(ROUND(H6/MAX(1,(YEAR(I6)-YEAR(TODAY()))*12+MONTH(I6)-MONTH(TODAY())),2),0))</f>
        <v/>
      </c>
    </row>
    <row r="7">
      <c r="B7" s="29">
        <f>Instellingen!$H$10</f>
        <v/>
      </c>
      <c r="C7" s="30" t="n"/>
      <c r="D7" s="30" t="n"/>
      <c r="E7" s="24">
        <f>'Januari'!D42+'Februari'!D42+'Maart'!D42+'April'!D42+'Mei'!D42+'Juni'!D42+'Juli'!D42+'Augustus'!D42+'September'!D42+'Oktober'!D42+'November'!D42+'December'!D42</f>
        <v/>
      </c>
      <c r="F7" s="24">
        <f>D7+E7</f>
        <v/>
      </c>
      <c r="G7" s="25">
        <f>IFERROR(MIN(1,F7/C7),0)</f>
        <v/>
      </c>
      <c r="H7" s="24">
        <f>MAX(0,C7-F7)</f>
        <v/>
      </c>
      <c r="I7" s="33" t="n"/>
      <c r="J7" s="24">
        <f>IF(I7="",0,IFERROR(ROUND(H7/MAX(1,(YEAR(I7)-YEAR(TODAY()))*12+MONTH(I7)-MONTH(TODAY())),2),0))</f>
        <v/>
      </c>
    </row>
    <row r="8">
      <c r="B8" s="29">
        <f>Instellingen!$H$11</f>
        <v/>
      </c>
      <c r="C8" s="30" t="n"/>
      <c r="D8" s="30" t="n"/>
      <c r="E8" s="24">
        <f>'Januari'!D43+'Februari'!D43+'Maart'!D43+'April'!D43+'Mei'!D43+'Juni'!D43+'Juli'!D43+'Augustus'!D43+'September'!D43+'Oktober'!D43+'November'!D43+'December'!D43</f>
        <v/>
      </c>
      <c r="F8" s="24">
        <f>D8+E8</f>
        <v/>
      </c>
      <c r="G8" s="25">
        <f>IFERROR(MIN(1,F8/C8),0)</f>
        <v/>
      </c>
      <c r="H8" s="24">
        <f>MAX(0,C8-F8)</f>
        <v/>
      </c>
      <c r="I8" s="33" t="n"/>
      <c r="J8" s="24">
        <f>IF(I8="",0,IFERROR(ROUND(H8/MAX(1,(YEAR(I8)-YEAR(TODAY()))*12+MONTH(I8)-MONTH(TODAY())),2),0))</f>
        <v/>
      </c>
    </row>
    <row r="9">
      <c r="B9" s="29">
        <f>Instellingen!$H$12</f>
        <v/>
      </c>
      <c r="C9" s="30" t="n"/>
      <c r="D9" s="30" t="n"/>
      <c r="E9" s="24">
        <f>'Januari'!D44+'Februari'!D44+'Maart'!D44+'April'!D44+'Mei'!D44+'Juni'!D44+'Juli'!D44+'Augustus'!D44+'September'!D44+'Oktober'!D44+'November'!D44+'December'!D44</f>
        <v/>
      </c>
      <c r="F9" s="24">
        <f>D9+E9</f>
        <v/>
      </c>
      <c r="G9" s="25">
        <f>IFERROR(MIN(1,F9/C9),0)</f>
        <v/>
      </c>
      <c r="H9" s="24">
        <f>MAX(0,C9-F9)</f>
        <v/>
      </c>
      <c r="I9" s="33" t="n"/>
      <c r="J9" s="24">
        <f>IF(I9="",0,IFERROR(ROUND(H9/MAX(1,(YEAR(I9)-YEAR(TODAY()))*12+MONTH(I9)-MONTH(TODAY())),2),0))</f>
        <v/>
      </c>
    </row>
    <row r="10">
      <c r="B10" s="26" t="inlineStr">
        <is>
          <t>Totaal</t>
        </is>
      </c>
      <c r="C10" s="27">
        <f>SUM(C6:C9)</f>
        <v/>
      </c>
      <c r="D10" s="27">
        <f>SUM(D6:D9)</f>
        <v/>
      </c>
      <c r="E10" s="27">
        <f>SUM(E6:E9)</f>
        <v/>
      </c>
      <c r="F10" s="27">
        <f>SUM(F6:F9)</f>
        <v/>
      </c>
      <c r="G10" s="28">
        <f>IFERROR(MIN(1,F10/C10),0)</f>
        <v/>
      </c>
      <c r="H10" s="27">
        <f>SUM(H6:H9)</f>
        <v/>
      </c>
      <c r="I10" s="10" t="n"/>
      <c r="J10" s="27">
        <f>SUM(J6:J9)</f>
        <v/>
      </c>
    </row>
    <row r="12">
      <c r="B12" s="12" t="inlineStr">
        <is>
          <t>Gespaard dit jaar = som van de kolom Werkelijk onder 'D · Sparen' op alle maandtabbladen. Nodig per maand = Nog te gaan ÷ aantal maanden tot de streefdatum.</t>
        </is>
      </c>
    </row>
  </sheetData>
  <conditionalFormatting sqref="G6:G9">
    <cfRule type="dataBar" priority="1">
      <dataBar showValue="1">
        <cfvo type="num" val="0"/>
        <cfvo type="num" val="1"/>
        <color rgb="005F7A61"/>
      </dataBar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5F7A61"/>
    <outlinePr summaryBelow="1" summaryRight="1"/>
    <pageSetUpPr/>
  </sheetPr>
  <dimension ref="B1:J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22" customWidth="1" min="3" max="3"/>
    <col width="18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1">
      <c r="B1" s="1" t="inlineStr">
        <is>
          <t>Plannerij</t>
        </is>
      </c>
    </row>
    <row r="2" ht="30" customHeight="1">
      <c r="B2" s="2" t="inlineStr">
        <is>
          <t>Schulden</t>
        </is>
      </c>
    </row>
    <row r="3">
      <c r="B3" s="3" t="inlineStr">
        <is>
          <t>Overzicht van leningen en schulden. Groene cellen invullen; restant en einddatum rekenen automatisch.</t>
        </is>
      </c>
    </row>
    <row r="5" ht="32" customHeight="1">
      <c r="B5" s="35" t="inlineStr">
        <is>
          <t>Schuld</t>
        </is>
      </c>
      <c r="C5" s="35" t="inlineStr">
        <is>
          <t>Schuldeiser</t>
        </is>
      </c>
      <c r="D5" s="35" t="inlineStr">
        <is>
          <t>Oorspronkelijk bedrag</t>
        </is>
      </c>
      <c r="E5" s="35" t="inlineStr">
        <is>
          <t>Rente % / jaar</t>
        </is>
      </c>
      <c r="F5" s="35" t="inlineStr">
        <is>
          <t>Maandbedrag</t>
        </is>
      </c>
      <c r="G5" s="35" t="inlineStr">
        <is>
          <t>Al afgelost</t>
        </is>
      </c>
      <c r="H5" s="35" t="inlineStr">
        <is>
          <t>Restant</t>
        </is>
      </c>
      <c r="I5" s="35" t="inlineStr">
        <is>
          <t>Maanden te gaan</t>
        </is>
      </c>
      <c r="J5" s="35" t="inlineStr">
        <is>
          <t>Verwachte einddatum</t>
        </is>
      </c>
    </row>
    <row r="6">
      <c r="B6" s="14" t="n"/>
      <c r="C6" s="14" t="n"/>
      <c r="D6" s="30" t="n"/>
      <c r="E6" s="36" t="n"/>
      <c r="F6" s="30" t="n"/>
      <c r="G6" s="30" t="n"/>
      <c r="H6" s="24">
        <f>MAX(0,D6-G6)</f>
        <v/>
      </c>
      <c r="I6" s="37">
        <f>IF(AND(ISNUMBER(F6),F6&gt;0,H6&gt;0),IFERROR(ROUNDUP(IF(E6=0,H6/F6,NPER(E6/12,-F6,H6)),0),"n.v.t."),"")</f>
        <v/>
      </c>
      <c r="J6" s="38">
        <f>IF(ISNUMBER(I6),DATE(YEAR(TODAY()),MONTH(TODAY())+I6,1),"")</f>
        <v/>
      </c>
    </row>
    <row r="7">
      <c r="B7" s="14" t="n"/>
      <c r="C7" s="14" t="n"/>
      <c r="D7" s="30" t="n"/>
      <c r="E7" s="36" t="n"/>
      <c r="F7" s="30" t="n"/>
      <c r="G7" s="30" t="n"/>
      <c r="H7" s="24">
        <f>MAX(0,D7-G7)</f>
        <v/>
      </c>
      <c r="I7" s="37">
        <f>IF(AND(ISNUMBER(F7),F7&gt;0,H7&gt;0),IFERROR(ROUNDUP(IF(E7=0,H7/F7,NPER(E7/12,-F7,H7)),0),"n.v.t."),"")</f>
        <v/>
      </c>
      <c r="J7" s="38">
        <f>IF(ISNUMBER(I7),DATE(YEAR(TODAY()),MONTH(TODAY())+I7,1),"")</f>
        <v/>
      </c>
    </row>
    <row r="8">
      <c r="B8" s="14" t="n"/>
      <c r="C8" s="14" t="n"/>
      <c r="D8" s="30" t="n"/>
      <c r="E8" s="36" t="n"/>
      <c r="F8" s="30" t="n"/>
      <c r="G8" s="30" t="n"/>
      <c r="H8" s="24">
        <f>MAX(0,D8-G8)</f>
        <v/>
      </c>
      <c r="I8" s="37">
        <f>IF(AND(ISNUMBER(F8),F8&gt;0,H8&gt;0),IFERROR(ROUNDUP(IF(E8=0,H8/F8,NPER(E8/12,-F8,H8)),0),"n.v.t."),"")</f>
        <v/>
      </c>
      <c r="J8" s="38">
        <f>IF(ISNUMBER(I8),DATE(YEAR(TODAY()),MONTH(TODAY())+I8,1),"")</f>
        <v/>
      </c>
    </row>
    <row r="9">
      <c r="B9" s="14" t="n"/>
      <c r="C9" s="14" t="n"/>
      <c r="D9" s="30" t="n"/>
      <c r="E9" s="36" t="n"/>
      <c r="F9" s="30" t="n"/>
      <c r="G9" s="30" t="n"/>
      <c r="H9" s="24">
        <f>MAX(0,D9-G9)</f>
        <v/>
      </c>
      <c r="I9" s="37">
        <f>IF(AND(ISNUMBER(F9),F9&gt;0,H9&gt;0),IFERROR(ROUNDUP(IF(E9=0,H9/F9,NPER(E9/12,-F9,H9)),0),"n.v.t."),"")</f>
        <v/>
      </c>
      <c r="J9" s="38">
        <f>IF(ISNUMBER(I9),DATE(YEAR(TODAY()),MONTH(TODAY())+I9,1),"")</f>
        <v/>
      </c>
    </row>
    <row r="10">
      <c r="B10" s="14" t="n"/>
      <c r="C10" s="14" t="n"/>
      <c r="D10" s="30" t="n"/>
      <c r="E10" s="36" t="n"/>
      <c r="F10" s="30" t="n"/>
      <c r="G10" s="30" t="n"/>
      <c r="H10" s="24">
        <f>MAX(0,D10-G10)</f>
        <v/>
      </c>
      <c r="I10" s="37">
        <f>IF(AND(ISNUMBER(F10),F10&gt;0,H10&gt;0),IFERROR(ROUNDUP(IF(E10=0,H10/F10,NPER(E10/12,-F10,H10)),0),"n.v.t."),"")</f>
        <v/>
      </c>
      <c r="J10" s="38">
        <f>IF(ISNUMBER(I10),DATE(YEAR(TODAY()),MONTH(TODAY())+I10,1),"")</f>
        <v/>
      </c>
    </row>
    <row r="11">
      <c r="B11" s="14" t="n"/>
      <c r="C11" s="14" t="n"/>
      <c r="D11" s="30" t="n"/>
      <c r="E11" s="36" t="n"/>
      <c r="F11" s="30" t="n"/>
      <c r="G11" s="30" t="n"/>
      <c r="H11" s="24">
        <f>MAX(0,D11-G11)</f>
        <v/>
      </c>
      <c r="I11" s="37">
        <f>IF(AND(ISNUMBER(F11),F11&gt;0,H11&gt;0),IFERROR(ROUNDUP(IF(E11=0,H11/F11,NPER(E11/12,-F11,H11)),0),"n.v.t."),"")</f>
        <v/>
      </c>
      <c r="J11" s="38">
        <f>IF(ISNUMBER(I11),DATE(YEAR(TODAY()),MONTH(TODAY())+I11,1),"")</f>
        <v/>
      </c>
    </row>
    <row r="12">
      <c r="B12" s="14" t="n"/>
      <c r="C12" s="14" t="n"/>
      <c r="D12" s="30" t="n"/>
      <c r="E12" s="36" t="n"/>
      <c r="F12" s="30" t="n"/>
      <c r="G12" s="30" t="n"/>
      <c r="H12" s="24">
        <f>MAX(0,D12-G12)</f>
        <v/>
      </c>
      <c r="I12" s="37">
        <f>IF(AND(ISNUMBER(F12),F12&gt;0,H12&gt;0),IFERROR(ROUNDUP(IF(E12=0,H12/F12,NPER(E12/12,-F12,H12)),0),"n.v.t."),"")</f>
        <v/>
      </c>
      <c r="J12" s="38">
        <f>IF(ISNUMBER(I12),DATE(YEAR(TODAY()),MONTH(TODAY())+I12,1),"")</f>
        <v/>
      </c>
    </row>
    <row r="13">
      <c r="B13" s="14" t="n"/>
      <c r="C13" s="14" t="n"/>
      <c r="D13" s="30" t="n"/>
      <c r="E13" s="36" t="n"/>
      <c r="F13" s="30" t="n"/>
      <c r="G13" s="30" t="n"/>
      <c r="H13" s="24">
        <f>MAX(0,D13-G13)</f>
        <v/>
      </c>
      <c r="I13" s="37">
        <f>IF(AND(ISNUMBER(F13),F13&gt;0,H13&gt;0),IFERROR(ROUNDUP(IF(E13=0,H13/F13,NPER(E13/12,-F13,H13)),0),"n.v.t."),"")</f>
        <v/>
      </c>
      <c r="J13" s="38">
        <f>IF(ISNUMBER(I13),DATE(YEAR(TODAY()),MONTH(TODAY())+I13,1),"")</f>
        <v/>
      </c>
    </row>
    <row r="14">
      <c r="B14" s="26" t="inlineStr">
        <is>
          <t>Totaal</t>
        </is>
      </c>
      <c r="C14" s="10" t="n"/>
      <c r="D14" s="27">
        <f>SUM(D6:D13)</f>
        <v/>
      </c>
      <c r="E14" s="10" t="n"/>
      <c r="F14" s="27">
        <f>SUM(F6:F13)</f>
        <v/>
      </c>
      <c r="G14" s="27">
        <f>SUM(G6:G13)</f>
        <v/>
      </c>
      <c r="H14" s="27">
        <f>SUM(H6:H13)</f>
        <v/>
      </c>
      <c r="I14" s="10" t="n"/>
      <c r="J14" s="10" t="n"/>
    </row>
    <row r="16">
      <c r="B16" s="4" t="inlineStr">
        <is>
          <t>Sneeuwbal of lawine?</t>
        </is>
      </c>
    </row>
    <row r="17" ht="32" customHeight="1">
      <c r="B17" s="6" t="inlineStr">
        <is>
          <t>Sneeuwbalmethode: los eerst de kleinste schuld volledig af en gebruik dat vrijgekomen maandbedrag voor de volgende – snelle succeservaringen houden je gemotiveerd.</t>
        </is>
      </c>
    </row>
    <row r="18" ht="32" customHeight="1">
      <c r="B18" s="6" t="inlineStr">
        <is>
          <t>Lawinemethode: begin bij de schuld met de hoogste rente – wiskundig het goedkoopst, omdat je de minste rente betaalt.</t>
        </is>
      </c>
    </row>
    <row r="19">
      <c r="B19" s="12" t="inlineStr">
        <is>
          <t>Maanden te gaan is berekend met NPER op basis van rente, maandbedrag en restant. 'n.v.t.' betekent dat het maandbedrag lager is dan de maandelijkse rente.</t>
        </is>
      </c>
    </row>
  </sheetData>
  <mergeCells count="2">
    <mergeCell ref="B17:J17"/>
    <mergeCell ref="B18:J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5F7A61"/>
    <outlinePr summaryBelow="1" summaryRight="1"/>
    <pageSetUpPr/>
  </sheetPr>
  <dimension ref="B1:G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2" customWidth="1" min="5" max="5"/>
    <col width="16" customWidth="1" min="6" max="6"/>
    <col width="14" customWidth="1" min="7" max="7"/>
  </cols>
  <sheetData>
    <row r="1">
      <c r="B1" s="1" t="inlineStr">
        <is>
          <t>Plannerij</t>
        </is>
      </c>
    </row>
    <row r="2" ht="30" customHeight="1">
      <c r="B2" s="2" t="inlineStr">
        <is>
          <t>Abonnementen</t>
        </is>
      </c>
    </row>
    <row r="3">
      <c r="B3" s="3" t="inlineStr">
        <is>
          <t>Checklist van alles wat maandelijks afschrijft. Zet 'Nog nodig?' op Nee en zie wat je bespaart.</t>
        </is>
      </c>
    </row>
    <row r="5">
      <c r="B5" s="17" t="inlineStr">
        <is>
          <t>Dienst</t>
        </is>
      </c>
      <c r="C5" s="23" t="inlineStr">
        <is>
          <t>Prijs per maand</t>
        </is>
      </c>
      <c r="D5" s="23" t="inlineStr">
        <is>
          <t>Prijs per jaar</t>
        </is>
      </c>
      <c r="E5" s="23" t="inlineStr">
        <is>
          <t>Betaaldag</t>
        </is>
      </c>
      <c r="F5" s="23" t="inlineStr">
        <is>
          <t>Opzegtermijn</t>
        </is>
      </c>
      <c r="G5" s="23" t="inlineStr">
        <is>
          <t>Nog nodig?</t>
        </is>
      </c>
    </row>
    <row r="6">
      <c r="B6" s="14" t="n"/>
      <c r="C6" s="30" t="n"/>
      <c r="D6" s="24">
        <f>C6*12</f>
        <v/>
      </c>
      <c r="E6" s="39" t="n"/>
      <c r="F6" s="40" t="n"/>
      <c r="G6" s="40" t="n"/>
    </row>
    <row r="7">
      <c r="B7" s="14" t="n"/>
      <c r="C7" s="30" t="n"/>
      <c r="D7" s="24">
        <f>C7*12</f>
        <v/>
      </c>
      <c r="E7" s="39" t="n"/>
      <c r="F7" s="40" t="n"/>
      <c r="G7" s="40" t="n"/>
    </row>
    <row r="8">
      <c r="B8" s="14" t="n"/>
      <c r="C8" s="30" t="n"/>
      <c r="D8" s="24">
        <f>C8*12</f>
        <v/>
      </c>
      <c r="E8" s="39" t="n"/>
      <c r="F8" s="40" t="n"/>
      <c r="G8" s="40" t="n"/>
    </row>
    <row r="9">
      <c r="B9" s="14" t="n"/>
      <c r="C9" s="30" t="n"/>
      <c r="D9" s="24">
        <f>C9*12</f>
        <v/>
      </c>
      <c r="E9" s="39" t="n"/>
      <c r="F9" s="40" t="n"/>
      <c r="G9" s="40" t="n"/>
    </row>
    <row r="10">
      <c r="B10" s="14" t="n"/>
      <c r="C10" s="30" t="n"/>
      <c r="D10" s="24">
        <f>C10*12</f>
        <v/>
      </c>
      <c r="E10" s="39" t="n"/>
      <c r="F10" s="40" t="n"/>
      <c r="G10" s="40" t="n"/>
    </row>
    <row r="11">
      <c r="B11" s="14" t="n"/>
      <c r="C11" s="30" t="n"/>
      <c r="D11" s="24">
        <f>C11*12</f>
        <v/>
      </c>
      <c r="E11" s="39" t="n"/>
      <c r="F11" s="40" t="n"/>
      <c r="G11" s="40" t="n"/>
    </row>
    <row r="12">
      <c r="B12" s="14" t="n"/>
      <c r="C12" s="30" t="n"/>
      <c r="D12" s="24">
        <f>C12*12</f>
        <v/>
      </c>
      <c r="E12" s="39" t="n"/>
      <c r="F12" s="40" t="n"/>
      <c r="G12" s="40" t="n"/>
    </row>
    <row r="13">
      <c r="B13" s="14" t="n"/>
      <c r="C13" s="30" t="n"/>
      <c r="D13" s="24">
        <f>C13*12</f>
        <v/>
      </c>
      <c r="E13" s="39" t="n"/>
      <c r="F13" s="40" t="n"/>
      <c r="G13" s="40" t="n"/>
    </row>
    <row r="14">
      <c r="B14" s="14" t="n"/>
      <c r="C14" s="30" t="n"/>
      <c r="D14" s="24">
        <f>C14*12</f>
        <v/>
      </c>
      <c r="E14" s="39" t="n"/>
      <c r="F14" s="40" t="n"/>
      <c r="G14" s="40" t="n"/>
    </row>
    <row r="15">
      <c r="B15" s="14" t="n"/>
      <c r="C15" s="30" t="n"/>
      <c r="D15" s="24">
        <f>C15*12</f>
        <v/>
      </c>
      <c r="E15" s="39" t="n"/>
      <c r="F15" s="40" t="n"/>
      <c r="G15" s="40" t="n"/>
    </row>
    <row r="16">
      <c r="B16" s="14" t="n"/>
      <c r="C16" s="30" t="n"/>
      <c r="D16" s="24">
        <f>C16*12</f>
        <v/>
      </c>
      <c r="E16" s="39" t="n"/>
      <c r="F16" s="40" t="n"/>
      <c r="G16" s="40" t="n"/>
    </row>
    <row r="17">
      <c r="B17" s="14" t="n"/>
      <c r="C17" s="30" t="n"/>
      <c r="D17" s="24">
        <f>C17*12</f>
        <v/>
      </c>
      <c r="E17" s="39" t="n"/>
      <c r="F17" s="40" t="n"/>
      <c r="G17" s="40" t="n"/>
    </row>
    <row r="18">
      <c r="B18" s="14" t="n"/>
      <c r="C18" s="30" t="n"/>
      <c r="D18" s="24">
        <f>C18*12</f>
        <v/>
      </c>
      <c r="E18" s="39" t="n"/>
      <c r="F18" s="40" t="n"/>
      <c r="G18" s="40" t="n"/>
    </row>
    <row r="19">
      <c r="B19" s="14" t="n"/>
      <c r="C19" s="30" t="n"/>
      <c r="D19" s="24">
        <f>C19*12</f>
        <v/>
      </c>
      <c r="E19" s="39" t="n"/>
      <c r="F19" s="40" t="n"/>
      <c r="G19" s="40" t="n"/>
    </row>
    <row r="20">
      <c r="B20" s="14" t="n"/>
      <c r="C20" s="30" t="n"/>
      <c r="D20" s="24">
        <f>C20*12</f>
        <v/>
      </c>
      <c r="E20" s="39" t="n"/>
      <c r="F20" s="40" t="n"/>
      <c r="G20" s="40" t="n"/>
    </row>
    <row r="21">
      <c r="B21" s="14" t="n"/>
      <c r="C21" s="30" t="n"/>
      <c r="D21" s="24">
        <f>C21*12</f>
        <v/>
      </c>
      <c r="E21" s="39" t="n"/>
      <c r="F21" s="40" t="n"/>
      <c r="G21" s="40" t="n"/>
    </row>
    <row r="22">
      <c r="B22" s="14" t="n"/>
      <c r="C22" s="30" t="n"/>
      <c r="D22" s="24">
        <f>C22*12</f>
        <v/>
      </c>
      <c r="E22" s="39" t="n"/>
      <c r="F22" s="40" t="n"/>
      <c r="G22" s="40" t="n"/>
    </row>
    <row r="23">
      <c r="B23" s="14" t="n"/>
      <c r="C23" s="30" t="n"/>
      <c r="D23" s="24">
        <f>C23*12</f>
        <v/>
      </c>
      <c r="E23" s="39" t="n"/>
      <c r="F23" s="40" t="n"/>
      <c r="G23" s="40" t="n"/>
    </row>
    <row r="24">
      <c r="B24" s="14" t="n"/>
      <c r="C24" s="30" t="n"/>
      <c r="D24" s="24">
        <f>C24*12</f>
        <v/>
      </c>
      <c r="E24" s="39" t="n"/>
      <c r="F24" s="40" t="n"/>
      <c r="G24" s="40" t="n"/>
    </row>
    <row r="25">
      <c r="B25" s="14" t="n"/>
      <c r="C25" s="30" t="n"/>
      <c r="D25" s="24">
        <f>C25*12</f>
        <v/>
      </c>
      <c r="E25" s="39" t="n"/>
      <c r="F25" s="40" t="n"/>
      <c r="G25" s="40" t="n"/>
    </row>
    <row r="26">
      <c r="B26" s="26" t="inlineStr">
        <is>
          <t>Totaal</t>
        </is>
      </c>
      <c r="C26" s="27">
        <f>SUM(C6:C25)</f>
        <v/>
      </c>
      <c r="D26" s="27">
        <f>SUM(D6:D25)</f>
        <v/>
      </c>
      <c r="E26" s="10" t="n"/>
      <c r="F26" s="10" t="n"/>
      <c r="G26" s="10" t="n"/>
    </row>
    <row r="27">
      <c r="B27" s="26" t="inlineStr">
        <is>
          <t>Besparing als je alle 'Nee' opzegt</t>
        </is>
      </c>
      <c r="C27" s="27">
        <f>SUMIF(G6:G25,"Nee",C6:C25)</f>
        <v/>
      </c>
      <c r="D27" s="27">
        <f>C27*12</f>
        <v/>
      </c>
      <c r="E27" s="10" t="n"/>
      <c r="F27" s="10" t="n"/>
      <c r="G27" s="10" t="n"/>
    </row>
    <row r="29">
      <c r="B29" s="12" t="inlineStr">
        <is>
          <t>Tip: zet de opzegtermijn (bv. '1 maand') erbij en plan de opzegging vóór de volgende betaaldag.</t>
        </is>
      </c>
    </row>
  </sheetData>
  <conditionalFormatting sqref="G6:G25">
    <cfRule type="cellIs" priority="1" operator="equal" dxfId="0">
      <formula>"Nee"</formula>
    </cfRule>
  </conditionalFormatting>
  <dataValidations count="1">
    <dataValidation sqref="G6:G25" showDropDown="0" showInputMessage="0" showErrorMessage="0" allowBlank="1" type="list">
      <formula1>"Ja,Nee"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5F7A61"/>
    <outlinePr summaryBelow="1" summaryRight="1"/>
    <pageSetUpPr/>
  </sheetPr>
  <dimension ref="B1:J6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" customWidth="1" min="1" max="1"/>
    <col width="8" customWidth="1" min="2" max="2"/>
    <col width="16" customWidth="1" min="3" max="3"/>
    <col width="10" customWidth="1" min="4" max="4"/>
    <col width="3" customWidth="1" min="5" max="5"/>
    <col width="16" customWidth="1" min="6" max="6"/>
    <col width="10" customWidth="1" min="7" max="7"/>
    <col width="3" customWidth="1" min="8" max="8"/>
    <col width="16" customWidth="1" min="9" max="9"/>
    <col width="10" customWidth="1" min="10" max="10"/>
  </cols>
  <sheetData>
    <row r="1">
      <c r="B1" s="1" t="inlineStr">
        <is>
          <t>Plannerij</t>
        </is>
      </c>
    </row>
    <row r="2" ht="30" customHeight="1">
      <c r="B2" s="2" t="inlineStr">
        <is>
          <t>Spaarpotjes 52 weken</t>
        </is>
      </c>
    </row>
    <row r="3">
      <c r="B3" s="3" t="inlineStr">
        <is>
          <t>De 52-weken spaarchallenge: elke week iets meer opzij. Zet een ✓ als het gelukt is.</t>
        </is>
      </c>
    </row>
    <row r="5">
      <c r="B5" s="13" t="inlineStr">
        <is>
          <t>Eigen variant – stap per week (€)</t>
        </is>
      </c>
      <c r="C5" s="34" t="n"/>
      <c r="D5" s="20" t="n"/>
      <c r="F5" s="30" t="n">
        <v>2</v>
      </c>
      <c r="G5" s="12" t="inlineStr">
        <is>
          <t>Week 1 = 1× stap, week 52 = 52× stap. Vul een ander bedrag in voor een eigen challenge.</t>
        </is>
      </c>
    </row>
    <row r="8">
      <c r="B8" s="17" t="inlineStr">
        <is>
          <t>Week</t>
        </is>
      </c>
      <c r="C8" s="23" t="inlineStr">
        <is>
          <t>Klassiek (€1 → €52)</t>
        </is>
      </c>
      <c r="D8" s="23" t="inlineStr">
        <is>
          <t>Gedaan</t>
        </is>
      </c>
      <c r="F8" s="17" t="inlineStr">
        <is>
          <t>Omgekeerd (€52 → €1)</t>
        </is>
      </c>
      <c r="G8" s="23" t="inlineStr">
        <is>
          <t>Gedaan</t>
        </is>
      </c>
      <c r="I8" s="17" t="inlineStr">
        <is>
          <t>Eigen variant</t>
        </is>
      </c>
      <c r="J8" s="23" t="inlineStr">
        <is>
          <t>Gedaan</t>
        </is>
      </c>
    </row>
    <row r="9">
      <c r="B9" s="41" t="n">
        <v>1</v>
      </c>
      <c r="C9" s="24">
        <f>B9</f>
        <v/>
      </c>
      <c r="D9" s="40" t="n"/>
      <c r="F9" s="24">
        <f>53-B9</f>
        <v/>
      </c>
      <c r="G9" s="40" t="n"/>
      <c r="I9" s="24">
        <f>B9*$F$5</f>
        <v/>
      </c>
      <c r="J9" s="40" t="n"/>
    </row>
    <row r="10">
      <c r="B10" s="41" t="n">
        <v>2</v>
      </c>
      <c r="C10" s="24">
        <f>B10</f>
        <v/>
      </c>
      <c r="D10" s="40" t="n"/>
      <c r="F10" s="24">
        <f>53-B10</f>
        <v/>
      </c>
      <c r="G10" s="40" t="n"/>
      <c r="I10" s="24">
        <f>B10*$F$5</f>
        <v/>
      </c>
      <c r="J10" s="40" t="n"/>
    </row>
    <row r="11">
      <c r="B11" s="41" t="n">
        <v>3</v>
      </c>
      <c r="C11" s="24">
        <f>B11</f>
        <v/>
      </c>
      <c r="D11" s="40" t="n"/>
      <c r="F11" s="24">
        <f>53-B11</f>
        <v/>
      </c>
      <c r="G11" s="40" t="n"/>
      <c r="I11" s="24">
        <f>B11*$F$5</f>
        <v/>
      </c>
      <c r="J11" s="40" t="n"/>
    </row>
    <row r="12">
      <c r="B12" s="41" t="n">
        <v>4</v>
      </c>
      <c r="C12" s="24">
        <f>B12</f>
        <v/>
      </c>
      <c r="D12" s="40" t="n"/>
      <c r="F12" s="24">
        <f>53-B12</f>
        <v/>
      </c>
      <c r="G12" s="40" t="n"/>
      <c r="I12" s="24">
        <f>B12*$F$5</f>
        <v/>
      </c>
      <c r="J12" s="40" t="n"/>
    </row>
    <row r="13">
      <c r="B13" s="41" t="n">
        <v>5</v>
      </c>
      <c r="C13" s="24">
        <f>B13</f>
        <v/>
      </c>
      <c r="D13" s="40" t="n"/>
      <c r="F13" s="24">
        <f>53-B13</f>
        <v/>
      </c>
      <c r="G13" s="40" t="n"/>
      <c r="I13" s="24">
        <f>B13*$F$5</f>
        <v/>
      </c>
      <c r="J13" s="40" t="n"/>
    </row>
    <row r="14">
      <c r="B14" s="41" t="n">
        <v>6</v>
      </c>
      <c r="C14" s="24">
        <f>B14</f>
        <v/>
      </c>
      <c r="D14" s="40" t="n"/>
      <c r="F14" s="24">
        <f>53-B14</f>
        <v/>
      </c>
      <c r="G14" s="40" t="n"/>
      <c r="I14" s="24">
        <f>B14*$F$5</f>
        <v/>
      </c>
      <c r="J14" s="40" t="n"/>
    </row>
    <row r="15">
      <c r="B15" s="41" t="n">
        <v>7</v>
      </c>
      <c r="C15" s="24">
        <f>B15</f>
        <v/>
      </c>
      <c r="D15" s="40" t="n"/>
      <c r="F15" s="24">
        <f>53-B15</f>
        <v/>
      </c>
      <c r="G15" s="40" t="n"/>
      <c r="I15" s="24">
        <f>B15*$F$5</f>
        <v/>
      </c>
      <c r="J15" s="40" t="n"/>
    </row>
    <row r="16">
      <c r="B16" s="41" t="n">
        <v>8</v>
      </c>
      <c r="C16" s="24">
        <f>B16</f>
        <v/>
      </c>
      <c r="D16" s="40" t="n"/>
      <c r="F16" s="24">
        <f>53-B16</f>
        <v/>
      </c>
      <c r="G16" s="40" t="n"/>
      <c r="I16" s="24">
        <f>B16*$F$5</f>
        <v/>
      </c>
      <c r="J16" s="40" t="n"/>
    </row>
    <row r="17">
      <c r="B17" s="41" t="n">
        <v>9</v>
      </c>
      <c r="C17" s="24">
        <f>B17</f>
        <v/>
      </c>
      <c r="D17" s="40" t="n"/>
      <c r="F17" s="24">
        <f>53-B17</f>
        <v/>
      </c>
      <c r="G17" s="40" t="n"/>
      <c r="I17" s="24">
        <f>B17*$F$5</f>
        <v/>
      </c>
      <c r="J17" s="40" t="n"/>
    </row>
    <row r="18">
      <c r="B18" s="41" t="n">
        <v>10</v>
      </c>
      <c r="C18" s="24">
        <f>B18</f>
        <v/>
      </c>
      <c r="D18" s="40" t="n"/>
      <c r="F18" s="24">
        <f>53-B18</f>
        <v/>
      </c>
      <c r="G18" s="40" t="n"/>
      <c r="I18" s="24">
        <f>B18*$F$5</f>
        <v/>
      </c>
      <c r="J18" s="40" t="n"/>
    </row>
    <row r="19">
      <c r="B19" s="41" t="n">
        <v>11</v>
      </c>
      <c r="C19" s="24">
        <f>B19</f>
        <v/>
      </c>
      <c r="D19" s="40" t="n"/>
      <c r="F19" s="24">
        <f>53-B19</f>
        <v/>
      </c>
      <c r="G19" s="40" t="n"/>
      <c r="I19" s="24">
        <f>B19*$F$5</f>
        <v/>
      </c>
      <c r="J19" s="40" t="n"/>
    </row>
    <row r="20">
      <c r="B20" s="41" t="n">
        <v>12</v>
      </c>
      <c r="C20" s="24">
        <f>B20</f>
        <v/>
      </c>
      <c r="D20" s="40" t="n"/>
      <c r="F20" s="24">
        <f>53-B20</f>
        <v/>
      </c>
      <c r="G20" s="40" t="n"/>
      <c r="I20" s="24">
        <f>B20*$F$5</f>
        <v/>
      </c>
      <c r="J20" s="40" t="n"/>
    </row>
    <row r="21">
      <c r="B21" s="41" t="n">
        <v>13</v>
      </c>
      <c r="C21" s="24">
        <f>B21</f>
        <v/>
      </c>
      <c r="D21" s="40" t="n"/>
      <c r="F21" s="24">
        <f>53-B21</f>
        <v/>
      </c>
      <c r="G21" s="40" t="n"/>
      <c r="I21" s="24">
        <f>B21*$F$5</f>
        <v/>
      </c>
      <c r="J21" s="40" t="n"/>
    </row>
    <row r="22">
      <c r="B22" s="41" t="n">
        <v>14</v>
      </c>
      <c r="C22" s="24">
        <f>B22</f>
        <v/>
      </c>
      <c r="D22" s="40" t="n"/>
      <c r="F22" s="24">
        <f>53-B22</f>
        <v/>
      </c>
      <c r="G22" s="40" t="n"/>
      <c r="I22" s="24">
        <f>B22*$F$5</f>
        <v/>
      </c>
      <c r="J22" s="40" t="n"/>
    </row>
    <row r="23">
      <c r="B23" s="41" t="n">
        <v>15</v>
      </c>
      <c r="C23" s="24">
        <f>B23</f>
        <v/>
      </c>
      <c r="D23" s="40" t="n"/>
      <c r="F23" s="24">
        <f>53-B23</f>
        <v/>
      </c>
      <c r="G23" s="40" t="n"/>
      <c r="I23" s="24">
        <f>B23*$F$5</f>
        <v/>
      </c>
      <c r="J23" s="40" t="n"/>
    </row>
    <row r="24">
      <c r="B24" s="41" t="n">
        <v>16</v>
      </c>
      <c r="C24" s="24">
        <f>B24</f>
        <v/>
      </c>
      <c r="D24" s="40" t="n"/>
      <c r="F24" s="24">
        <f>53-B24</f>
        <v/>
      </c>
      <c r="G24" s="40" t="n"/>
      <c r="I24" s="24">
        <f>B24*$F$5</f>
        <v/>
      </c>
      <c r="J24" s="40" t="n"/>
    </row>
    <row r="25">
      <c r="B25" s="41" t="n">
        <v>17</v>
      </c>
      <c r="C25" s="24">
        <f>B25</f>
        <v/>
      </c>
      <c r="D25" s="40" t="n"/>
      <c r="F25" s="24">
        <f>53-B25</f>
        <v/>
      </c>
      <c r="G25" s="40" t="n"/>
      <c r="I25" s="24">
        <f>B25*$F$5</f>
        <v/>
      </c>
      <c r="J25" s="40" t="n"/>
    </row>
    <row r="26">
      <c r="B26" s="41" t="n">
        <v>18</v>
      </c>
      <c r="C26" s="24">
        <f>B26</f>
        <v/>
      </c>
      <c r="D26" s="40" t="n"/>
      <c r="F26" s="24">
        <f>53-B26</f>
        <v/>
      </c>
      <c r="G26" s="40" t="n"/>
      <c r="I26" s="24">
        <f>B26*$F$5</f>
        <v/>
      </c>
      <c r="J26" s="40" t="n"/>
    </row>
    <row r="27">
      <c r="B27" s="41" t="n">
        <v>19</v>
      </c>
      <c r="C27" s="24">
        <f>B27</f>
        <v/>
      </c>
      <c r="D27" s="40" t="n"/>
      <c r="F27" s="24">
        <f>53-B27</f>
        <v/>
      </c>
      <c r="G27" s="40" t="n"/>
      <c r="I27" s="24">
        <f>B27*$F$5</f>
        <v/>
      </c>
      <c r="J27" s="40" t="n"/>
    </row>
    <row r="28">
      <c r="B28" s="41" t="n">
        <v>20</v>
      </c>
      <c r="C28" s="24">
        <f>B28</f>
        <v/>
      </c>
      <c r="D28" s="40" t="n"/>
      <c r="F28" s="24">
        <f>53-B28</f>
        <v/>
      </c>
      <c r="G28" s="40" t="n"/>
      <c r="I28" s="24">
        <f>B28*$F$5</f>
        <v/>
      </c>
      <c r="J28" s="40" t="n"/>
    </row>
    <row r="29">
      <c r="B29" s="41" t="n">
        <v>21</v>
      </c>
      <c r="C29" s="24">
        <f>B29</f>
        <v/>
      </c>
      <c r="D29" s="40" t="n"/>
      <c r="F29" s="24">
        <f>53-B29</f>
        <v/>
      </c>
      <c r="G29" s="40" t="n"/>
      <c r="I29" s="24">
        <f>B29*$F$5</f>
        <v/>
      </c>
      <c r="J29" s="40" t="n"/>
    </row>
    <row r="30">
      <c r="B30" s="41" t="n">
        <v>22</v>
      </c>
      <c r="C30" s="24">
        <f>B30</f>
        <v/>
      </c>
      <c r="D30" s="40" t="n"/>
      <c r="F30" s="24">
        <f>53-B30</f>
        <v/>
      </c>
      <c r="G30" s="40" t="n"/>
      <c r="I30" s="24">
        <f>B30*$F$5</f>
        <v/>
      </c>
      <c r="J30" s="40" t="n"/>
    </row>
    <row r="31">
      <c r="B31" s="41" t="n">
        <v>23</v>
      </c>
      <c r="C31" s="24">
        <f>B31</f>
        <v/>
      </c>
      <c r="D31" s="40" t="n"/>
      <c r="F31" s="24">
        <f>53-B31</f>
        <v/>
      </c>
      <c r="G31" s="40" t="n"/>
      <c r="I31" s="24">
        <f>B31*$F$5</f>
        <v/>
      </c>
      <c r="J31" s="40" t="n"/>
    </row>
    <row r="32">
      <c r="B32" s="41" t="n">
        <v>24</v>
      </c>
      <c r="C32" s="24">
        <f>B32</f>
        <v/>
      </c>
      <c r="D32" s="40" t="n"/>
      <c r="F32" s="24">
        <f>53-B32</f>
        <v/>
      </c>
      <c r="G32" s="40" t="n"/>
      <c r="I32" s="24">
        <f>B32*$F$5</f>
        <v/>
      </c>
      <c r="J32" s="40" t="n"/>
    </row>
    <row r="33">
      <c r="B33" s="41" t="n">
        <v>25</v>
      </c>
      <c r="C33" s="24">
        <f>B33</f>
        <v/>
      </c>
      <c r="D33" s="40" t="n"/>
      <c r="F33" s="24">
        <f>53-B33</f>
        <v/>
      </c>
      <c r="G33" s="40" t="n"/>
      <c r="I33" s="24">
        <f>B33*$F$5</f>
        <v/>
      </c>
      <c r="J33" s="40" t="n"/>
    </row>
    <row r="34">
      <c r="B34" s="41" t="n">
        <v>26</v>
      </c>
      <c r="C34" s="24">
        <f>B34</f>
        <v/>
      </c>
      <c r="D34" s="40" t="n"/>
      <c r="F34" s="24">
        <f>53-B34</f>
        <v/>
      </c>
      <c r="G34" s="40" t="n"/>
      <c r="I34" s="24">
        <f>B34*$F$5</f>
        <v/>
      </c>
      <c r="J34" s="40" t="n"/>
    </row>
    <row r="35">
      <c r="B35" s="41" t="n">
        <v>27</v>
      </c>
      <c r="C35" s="24">
        <f>B35</f>
        <v/>
      </c>
      <c r="D35" s="40" t="n"/>
      <c r="F35" s="24">
        <f>53-B35</f>
        <v/>
      </c>
      <c r="G35" s="40" t="n"/>
      <c r="I35" s="24">
        <f>B35*$F$5</f>
        <v/>
      </c>
      <c r="J35" s="40" t="n"/>
    </row>
    <row r="36">
      <c r="B36" s="41" t="n">
        <v>28</v>
      </c>
      <c r="C36" s="24">
        <f>B36</f>
        <v/>
      </c>
      <c r="D36" s="40" t="n"/>
      <c r="F36" s="24">
        <f>53-B36</f>
        <v/>
      </c>
      <c r="G36" s="40" t="n"/>
      <c r="I36" s="24">
        <f>B36*$F$5</f>
        <v/>
      </c>
      <c r="J36" s="40" t="n"/>
    </row>
    <row r="37">
      <c r="B37" s="41" t="n">
        <v>29</v>
      </c>
      <c r="C37" s="24">
        <f>B37</f>
        <v/>
      </c>
      <c r="D37" s="40" t="n"/>
      <c r="F37" s="24">
        <f>53-B37</f>
        <v/>
      </c>
      <c r="G37" s="40" t="n"/>
      <c r="I37" s="24">
        <f>B37*$F$5</f>
        <v/>
      </c>
      <c r="J37" s="40" t="n"/>
    </row>
    <row r="38">
      <c r="B38" s="41" t="n">
        <v>30</v>
      </c>
      <c r="C38" s="24">
        <f>B38</f>
        <v/>
      </c>
      <c r="D38" s="40" t="n"/>
      <c r="F38" s="24">
        <f>53-B38</f>
        <v/>
      </c>
      <c r="G38" s="40" t="n"/>
      <c r="I38" s="24">
        <f>B38*$F$5</f>
        <v/>
      </c>
      <c r="J38" s="40" t="n"/>
    </row>
    <row r="39">
      <c r="B39" s="41" t="n">
        <v>31</v>
      </c>
      <c r="C39" s="24">
        <f>B39</f>
        <v/>
      </c>
      <c r="D39" s="40" t="n"/>
      <c r="F39" s="24">
        <f>53-B39</f>
        <v/>
      </c>
      <c r="G39" s="40" t="n"/>
      <c r="I39" s="24">
        <f>B39*$F$5</f>
        <v/>
      </c>
      <c r="J39" s="40" t="n"/>
    </row>
    <row r="40">
      <c r="B40" s="41" t="n">
        <v>32</v>
      </c>
      <c r="C40" s="24">
        <f>B40</f>
        <v/>
      </c>
      <c r="D40" s="40" t="n"/>
      <c r="F40" s="24">
        <f>53-B40</f>
        <v/>
      </c>
      <c r="G40" s="40" t="n"/>
      <c r="I40" s="24">
        <f>B40*$F$5</f>
        <v/>
      </c>
      <c r="J40" s="40" t="n"/>
    </row>
    <row r="41">
      <c r="B41" s="41" t="n">
        <v>33</v>
      </c>
      <c r="C41" s="24">
        <f>B41</f>
        <v/>
      </c>
      <c r="D41" s="40" t="n"/>
      <c r="F41" s="24">
        <f>53-B41</f>
        <v/>
      </c>
      <c r="G41" s="40" t="n"/>
      <c r="I41" s="24">
        <f>B41*$F$5</f>
        <v/>
      </c>
      <c r="J41" s="40" t="n"/>
    </row>
    <row r="42">
      <c r="B42" s="41" t="n">
        <v>34</v>
      </c>
      <c r="C42" s="24">
        <f>B42</f>
        <v/>
      </c>
      <c r="D42" s="40" t="n"/>
      <c r="F42" s="24">
        <f>53-B42</f>
        <v/>
      </c>
      <c r="G42" s="40" t="n"/>
      <c r="I42" s="24">
        <f>B42*$F$5</f>
        <v/>
      </c>
      <c r="J42" s="40" t="n"/>
    </row>
    <row r="43">
      <c r="B43" s="41" t="n">
        <v>35</v>
      </c>
      <c r="C43" s="24">
        <f>B43</f>
        <v/>
      </c>
      <c r="D43" s="40" t="n"/>
      <c r="F43" s="24">
        <f>53-B43</f>
        <v/>
      </c>
      <c r="G43" s="40" t="n"/>
      <c r="I43" s="24">
        <f>B43*$F$5</f>
        <v/>
      </c>
      <c r="J43" s="40" t="n"/>
    </row>
    <row r="44">
      <c r="B44" s="41" t="n">
        <v>36</v>
      </c>
      <c r="C44" s="24">
        <f>B44</f>
        <v/>
      </c>
      <c r="D44" s="40" t="n"/>
      <c r="F44" s="24">
        <f>53-B44</f>
        <v/>
      </c>
      <c r="G44" s="40" t="n"/>
      <c r="I44" s="24">
        <f>B44*$F$5</f>
        <v/>
      </c>
      <c r="J44" s="40" t="n"/>
    </row>
    <row r="45">
      <c r="B45" s="41" t="n">
        <v>37</v>
      </c>
      <c r="C45" s="24">
        <f>B45</f>
        <v/>
      </c>
      <c r="D45" s="40" t="n"/>
      <c r="F45" s="24">
        <f>53-B45</f>
        <v/>
      </c>
      <c r="G45" s="40" t="n"/>
      <c r="I45" s="24">
        <f>B45*$F$5</f>
        <v/>
      </c>
      <c r="J45" s="40" t="n"/>
    </row>
    <row r="46">
      <c r="B46" s="41" t="n">
        <v>38</v>
      </c>
      <c r="C46" s="24">
        <f>B46</f>
        <v/>
      </c>
      <c r="D46" s="40" t="n"/>
      <c r="F46" s="24">
        <f>53-B46</f>
        <v/>
      </c>
      <c r="G46" s="40" t="n"/>
      <c r="I46" s="24">
        <f>B46*$F$5</f>
        <v/>
      </c>
      <c r="J46" s="40" t="n"/>
    </row>
    <row r="47">
      <c r="B47" s="41" t="n">
        <v>39</v>
      </c>
      <c r="C47" s="24">
        <f>B47</f>
        <v/>
      </c>
      <c r="D47" s="40" t="n"/>
      <c r="F47" s="24">
        <f>53-B47</f>
        <v/>
      </c>
      <c r="G47" s="40" t="n"/>
      <c r="I47" s="24">
        <f>B47*$F$5</f>
        <v/>
      </c>
      <c r="J47" s="40" t="n"/>
    </row>
    <row r="48">
      <c r="B48" s="41" t="n">
        <v>40</v>
      </c>
      <c r="C48" s="24">
        <f>B48</f>
        <v/>
      </c>
      <c r="D48" s="40" t="n"/>
      <c r="F48" s="24">
        <f>53-B48</f>
        <v/>
      </c>
      <c r="G48" s="40" t="n"/>
      <c r="I48" s="24">
        <f>B48*$F$5</f>
        <v/>
      </c>
      <c r="J48" s="40" t="n"/>
    </row>
    <row r="49">
      <c r="B49" s="41" t="n">
        <v>41</v>
      </c>
      <c r="C49" s="24">
        <f>B49</f>
        <v/>
      </c>
      <c r="D49" s="40" t="n"/>
      <c r="F49" s="24">
        <f>53-B49</f>
        <v/>
      </c>
      <c r="G49" s="40" t="n"/>
      <c r="I49" s="24">
        <f>B49*$F$5</f>
        <v/>
      </c>
      <c r="J49" s="40" t="n"/>
    </row>
    <row r="50">
      <c r="B50" s="41" t="n">
        <v>42</v>
      </c>
      <c r="C50" s="24">
        <f>B50</f>
        <v/>
      </c>
      <c r="D50" s="40" t="n"/>
      <c r="F50" s="24">
        <f>53-B50</f>
        <v/>
      </c>
      <c r="G50" s="40" t="n"/>
      <c r="I50" s="24">
        <f>B50*$F$5</f>
        <v/>
      </c>
      <c r="J50" s="40" t="n"/>
    </row>
    <row r="51">
      <c r="B51" s="41" t="n">
        <v>43</v>
      </c>
      <c r="C51" s="24">
        <f>B51</f>
        <v/>
      </c>
      <c r="D51" s="40" t="n"/>
      <c r="F51" s="24">
        <f>53-B51</f>
        <v/>
      </c>
      <c r="G51" s="40" t="n"/>
      <c r="I51" s="24">
        <f>B51*$F$5</f>
        <v/>
      </c>
      <c r="J51" s="40" t="n"/>
    </row>
    <row r="52">
      <c r="B52" s="41" t="n">
        <v>44</v>
      </c>
      <c r="C52" s="24">
        <f>B52</f>
        <v/>
      </c>
      <c r="D52" s="40" t="n"/>
      <c r="F52" s="24">
        <f>53-B52</f>
        <v/>
      </c>
      <c r="G52" s="40" t="n"/>
      <c r="I52" s="24">
        <f>B52*$F$5</f>
        <v/>
      </c>
      <c r="J52" s="40" t="n"/>
    </row>
    <row r="53">
      <c r="B53" s="41" t="n">
        <v>45</v>
      </c>
      <c r="C53" s="24">
        <f>B53</f>
        <v/>
      </c>
      <c r="D53" s="40" t="n"/>
      <c r="F53" s="24">
        <f>53-B53</f>
        <v/>
      </c>
      <c r="G53" s="40" t="n"/>
      <c r="I53" s="24">
        <f>B53*$F$5</f>
        <v/>
      </c>
      <c r="J53" s="40" t="n"/>
    </row>
    <row r="54">
      <c r="B54" s="41" t="n">
        <v>46</v>
      </c>
      <c r="C54" s="24">
        <f>B54</f>
        <v/>
      </c>
      <c r="D54" s="40" t="n"/>
      <c r="F54" s="24">
        <f>53-B54</f>
        <v/>
      </c>
      <c r="G54" s="40" t="n"/>
      <c r="I54" s="24">
        <f>B54*$F$5</f>
        <v/>
      </c>
      <c r="J54" s="40" t="n"/>
    </row>
    <row r="55">
      <c r="B55" s="41" t="n">
        <v>47</v>
      </c>
      <c r="C55" s="24">
        <f>B55</f>
        <v/>
      </c>
      <c r="D55" s="40" t="n"/>
      <c r="F55" s="24">
        <f>53-B55</f>
        <v/>
      </c>
      <c r="G55" s="40" t="n"/>
      <c r="I55" s="24">
        <f>B55*$F$5</f>
        <v/>
      </c>
      <c r="J55" s="40" t="n"/>
    </row>
    <row r="56">
      <c r="B56" s="41" t="n">
        <v>48</v>
      </c>
      <c r="C56" s="24">
        <f>B56</f>
        <v/>
      </c>
      <c r="D56" s="40" t="n"/>
      <c r="F56" s="24">
        <f>53-B56</f>
        <v/>
      </c>
      <c r="G56" s="40" t="n"/>
      <c r="I56" s="24">
        <f>B56*$F$5</f>
        <v/>
      </c>
      <c r="J56" s="40" t="n"/>
    </row>
    <row r="57">
      <c r="B57" s="41" t="n">
        <v>49</v>
      </c>
      <c r="C57" s="24">
        <f>B57</f>
        <v/>
      </c>
      <c r="D57" s="40" t="n"/>
      <c r="F57" s="24">
        <f>53-B57</f>
        <v/>
      </c>
      <c r="G57" s="40" t="n"/>
      <c r="I57" s="24">
        <f>B57*$F$5</f>
        <v/>
      </c>
      <c r="J57" s="40" t="n"/>
    </row>
    <row r="58">
      <c r="B58" s="41" t="n">
        <v>50</v>
      </c>
      <c r="C58" s="24">
        <f>B58</f>
        <v/>
      </c>
      <c r="D58" s="40" t="n"/>
      <c r="F58" s="24">
        <f>53-B58</f>
        <v/>
      </c>
      <c r="G58" s="40" t="n"/>
      <c r="I58" s="24">
        <f>B58*$F$5</f>
        <v/>
      </c>
      <c r="J58" s="40" t="n"/>
    </row>
    <row r="59">
      <c r="B59" s="41" t="n">
        <v>51</v>
      </c>
      <c r="C59" s="24">
        <f>B59</f>
        <v/>
      </c>
      <c r="D59" s="40" t="n"/>
      <c r="F59" s="24">
        <f>53-B59</f>
        <v/>
      </c>
      <c r="G59" s="40" t="n"/>
      <c r="I59" s="24">
        <f>B59*$F$5</f>
        <v/>
      </c>
      <c r="J59" s="40" t="n"/>
    </row>
    <row r="60">
      <c r="B60" s="41" t="n">
        <v>52</v>
      </c>
      <c r="C60" s="24">
        <f>B60</f>
        <v/>
      </c>
      <c r="D60" s="40" t="n"/>
      <c r="F60" s="24">
        <f>53-B60</f>
        <v/>
      </c>
      <c r="G60" s="40" t="n"/>
      <c r="I60" s="24">
        <f>B60*$F$5</f>
        <v/>
      </c>
      <c r="J60" s="40" t="n"/>
    </row>
    <row r="61">
      <c r="B61" s="26" t="inlineStr">
        <is>
          <t>Totaal</t>
        </is>
      </c>
      <c r="C61" s="27">
        <f>SUM(C9:C60)</f>
        <v/>
      </c>
      <c r="D61" s="10" t="n"/>
      <c r="F61" s="27">
        <f>SUM(F9:F60)</f>
        <v/>
      </c>
      <c r="G61" s="10" t="n"/>
      <c r="I61" s="27">
        <f>SUM(I9:I60)</f>
        <v/>
      </c>
      <c r="J61" s="10" t="n"/>
    </row>
    <row r="62">
      <c r="B62" s="26" t="inlineStr">
        <is>
          <t>Al gespaard</t>
        </is>
      </c>
      <c r="C62" s="27">
        <f>SUMIF(D9:D60,"✓",C9:C60)</f>
        <v/>
      </c>
      <c r="D62" s="10" t="n"/>
      <c r="F62" s="27">
        <f>SUMIF(G9:G60,"✓",F9:F60)</f>
        <v/>
      </c>
      <c r="G62" s="10" t="n"/>
      <c r="I62" s="27">
        <f>SUMIF(J9:J60,"✓",I9:I60)</f>
        <v/>
      </c>
      <c r="J62" s="10" t="n"/>
    </row>
    <row r="64">
      <c r="B64" s="12" t="inlineStr">
        <is>
          <t>Klassiek en omgekeerd leveren allebei € 1.378,00 op na 52 weken. Omgekeerd is fijn als je in december liever weinig hoeft te missen.</t>
        </is>
      </c>
    </row>
  </sheetData>
  <mergeCells count="1">
    <mergeCell ref="B5:D5"/>
  </mergeCells>
  <conditionalFormatting sqref="D9:D60">
    <cfRule type="cellIs" priority="1" operator="equal" dxfId="1">
      <formula>"✓"</formula>
    </cfRule>
  </conditionalFormatting>
  <conditionalFormatting sqref="G9:G60">
    <cfRule type="cellIs" priority="2" operator="equal" dxfId="1">
      <formula>"✓"</formula>
    </cfRule>
  </conditionalFormatting>
  <conditionalFormatting sqref="J9:J60">
    <cfRule type="cellIs" priority="3" operator="equal" dxfId="1">
      <formula>"✓"</formula>
    </cfRule>
  </conditionalFormatting>
  <dataValidations count="1">
    <dataValidation sqref="D9:D60 G9:G60 J9:J60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2026-09-13T14:41:18Z</dcterms:created>
  <dcterms:modified xsi:type="dcterms:W3CDTF">2026-09-13T14:41:18Z</dcterms:modified>
</cp:coreProperties>
</file>